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8EE23E0C-C771-4584-B6F8-115AB32D3735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Analysis results" sheetId="95" r:id="rId1"/>
    <sheet name="Simulation results" sheetId="96" r:id="rId2"/>
    <sheet name="Regression and chi-square" sheetId="100" r:id="rId3"/>
  </sheets>
  <functionGroups builtInGroupCount="19"/>
  <externalReferences>
    <externalReference r:id="rId4"/>
    <externalReference r:id="rId5"/>
    <externalReference r:id="rId6"/>
  </externalReferences>
  <definedNames>
    <definedName name="Data">[1]Data!$C$4:$C$19</definedName>
    <definedName name="DataS">'Regression and chi-square'!$C$6:$C$23</definedName>
    <definedName name="market">'Analysis results'!$D$6:$D$23</definedName>
    <definedName name="Sim">'Simulation results'!$B$11:$B$1009</definedName>
    <definedName name="simu">'Simulation results'!$B$24:$B$123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72" i="100" l="1"/>
  <c r="J73" i="100" s="1"/>
  <c r="J75" i="100" s="1"/>
  <c r="K64" i="100"/>
  <c r="L64" i="100" s="1"/>
  <c r="M64" i="100" s="1"/>
  <c r="H64" i="100" a="1"/>
  <c r="H64" i="100" s="1"/>
  <c r="K63" i="100"/>
  <c r="L63" i="100" s="1"/>
  <c r="M63" i="100" s="1"/>
  <c r="H63" i="100" a="1"/>
  <c r="H63" i="100" s="1"/>
  <c r="K62" i="100"/>
  <c r="L62" i="100" s="1"/>
  <c r="M62" i="100" s="1"/>
  <c r="H62" i="100" a="1"/>
  <c r="H62" i="100" s="1"/>
  <c r="K61" i="100"/>
  <c r="L61" i="100" s="1"/>
  <c r="M61" i="100" s="1"/>
  <c r="H61" i="100" a="1"/>
  <c r="H61" i="100" s="1"/>
  <c r="K60" i="100"/>
  <c r="L60" i="100" s="1"/>
  <c r="M60" i="100" s="1"/>
  <c r="H60" i="100" a="1"/>
  <c r="H60" i="100" s="1"/>
  <c r="L59" i="100"/>
  <c r="M59" i="100" s="1"/>
  <c r="K59" i="100"/>
  <c r="H59" i="100" a="1"/>
  <c r="H59" i="100" s="1"/>
  <c r="K58" i="100"/>
  <c r="L58" i="100" s="1"/>
  <c r="M58" i="100" s="1"/>
  <c r="H58" i="100" a="1"/>
  <c r="H58" i="100" s="1"/>
  <c r="L57" i="100"/>
  <c r="M57" i="100" s="1"/>
  <c r="K57" i="100"/>
  <c r="H57" i="100" a="1"/>
  <c r="H57" i="100" s="1"/>
  <c r="K56" i="100"/>
  <c r="L56" i="100" s="1"/>
  <c r="M56" i="100" s="1"/>
  <c r="H56" i="100" a="1"/>
  <c r="H56" i="100" s="1"/>
  <c r="K55" i="100"/>
  <c r="L55" i="100" s="1"/>
  <c r="M55" i="100" s="1"/>
  <c r="M66" i="100" s="1"/>
  <c r="J76" i="100" s="1"/>
  <c r="H55" i="100" a="1"/>
  <c r="H55" i="100" s="1"/>
  <c r="I48" i="100"/>
  <c r="C40" i="95" l="1"/>
  <c r="C41" i="95"/>
  <c r="C42" i="95" s="1"/>
  <c r="C43" i="95" s="1"/>
  <c r="C44" i="95" s="1"/>
  <c r="C45" i="95" s="1"/>
  <c r="C46" i="95" s="1"/>
  <c r="C47" i="95" s="1"/>
  <c r="C48" i="95" s="1"/>
  <c r="C49" i="95" s="1"/>
  <c r="C50" i="95" s="1"/>
  <c r="C39" i="95"/>
  <c r="AS224" i="95" l="1"/>
  <c r="AS225" i="95" s="1"/>
  <c r="AS226" i="95" s="1"/>
  <c r="AS227" i="95" s="1"/>
  <c r="AS232" i="95" s="1"/>
  <c r="AS231" i="95"/>
  <c r="AS222" i="95"/>
  <c r="AS221" i="95"/>
  <c r="P114" i="95"/>
  <c r="P115" i="95"/>
  <c r="P116" i="95"/>
  <c r="AR204" i="95"/>
  <c r="AY172" i="95"/>
  <c r="AY174" i="95" s="1"/>
  <c r="AR191" i="95" s="1"/>
  <c r="AR192" i="95" s="1"/>
  <c r="AS187" i="95"/>
  <c r="AR187" i="95"/>
  <c r="AR184" i="95"/>
  <c r="AS183" i="95"/>
  <c r="AR183" i="95"/>
  <c r="AR188" i="95"/>
  <c r="AQ169" i="95"/>
  <c r="AQ170" i="95"/>
  <c r="AQ171" i="95"/>
  <c r="AQ172" i="95"/>
  <c r="AQ173" i="95"/>
  <c r="AQ174" i="95"/>
  <c r="AQ175" i="95"/>
  <c r="AQ176" i="95"/>
  <c r="AQ177" i="95"/>
  <c r="AQ168" i="95"/>
  <c r="AR202" i="95"/>
  <c r="AR201" i="95"/>
  <c r="AY173" i="95"/>
  <c r="AR142" i="95"/>
  <c r="AR141" i="95"/>
  <c r="AR134" i="95"/>
  <c r="N109" i="95"/>
  <c r="N110" i="95" s="1"/>
  <c r="M181" i="95"/>
  <c r="M180" i="95"/>
  <c r="M171" i="95"/>
  <c r="M170" i="95"/>
  <c r="I92" i="96"/>
  <c r="I77" i="96"/>
  <c r="I93" i="96"/>
  <c r="I91" i="96"/>
  <c r="I90" i="96"/>
  <c r="I89" i="96"/>
  <c r="J75" i="96"/>
  <c r="I75" i="96"/>
  <c r="I79" i="96"/>
  <c r="I70" i="96"/>
  <c r="I69" i="96"/>
  <c r="B8" i="96"/>
  <c r="B9" i="96" s="1"/>
  <c r="J73" i="96"/>
  <c r="J79" i="96" s="1"/>
  <c r="I73" i="96"/>
  <c r="J66" i="96"/>
  <c r="J69" i="96" s="1"/>
  <c r="J70" i="96" s="1"/>
  <c r="I66" i="96"/>
  <c r="H54" i="96"/>
  <c r="H55" i="96"/>
  <c r="H56" i="96"/>
  <c r="H57" i="96"/>
  <c r="H58" i="96"/>
  <c r="H59" i="96"/>
  <c r="H60" i="96"/>
  <c r="H61" i="96"/>
  <c r="H62" i="96"/>
  <c r="H63" i="96"/>
  <c r="I88" i="96"/>
  <c r="I87" i="96"/>
  <c r="I78" i="96"/>
  <c r="I80" i="96" s="1"/>
  <c r="J74" i="96"/>
  <c r="I74" i="96"/>
  <c r="J67" i="96"/>
  <c r="I67" i="96"/>
  <c r="AR143" i="95" l="1"/>
  <c r="P118" i="95"/>
  <c r="L117" i="95"/>
  <c r="P117" i="95"/>
  <c r="L118" i="95"/>
  <c r="AR181" i="95"/>
  <c r="AS188" i="95"/>
  <c r="AS189" i="95" s="1"/>
  <c r="AS193" i="95" s="1"/>
  <c r="AS180" i="95"/>
  <c r="AR180" i="95"/>
  <c r="AS181" i="95"/>
  <c r="AR189" i="95"/>
  <c r="AR193" i="95" s="1"/>
  <c r="AR206" i="95"/>
  <c r="AR203" i="95"/>
  <c r="AR205" i="95" s="1"/>
  <c r="J80" i="96"/>
  <c r="AS228" i="95" l="1"/>
  <c r="AS206" i="95"/>
  <c r="AS194" i="95"/>
  <c r="AS184" i="95"/>
  <c r="AR194" i="95"/>
  <c r="AS207" i="95"/>
  <c r="AR207" i="95"/>
  <c r="G32" i="96"/>
  <c r="G31" i="96"/>
  <c r="F12" i="96"/>
  <c r="F13" i="96" s="1"/>
  <c r="S161" i="95"/>
  <c r="G13" i="96" l="1"/>
  <c r="F14" i="96"/>
  <c r="G12" i="96"/>
  <c r="G14" i="96" l="1"/>
  <c r="F15" i="96"/>
  <c r="G15" i="96" l="1"/>
  <c r="F16" i="96"/>
  <c r="G16" i="96" l="1"/>
  <c r="F17" i="96"/>
  <c r="F18" i="96" l="1"/>
  <c r="G17" i="96"/>
  <c r="F19" i="96" l="1"/>
  <c r="G18" i="96"/>
  <c r="F20" i="96" l="1"/>
  <c r="G19" i="96"/>
  <c r="F21" i="96" l="1"/>
  <c r="G21" i="96" s="1"/>
  <c r="G20" i="96"/>
  <c r="H12" i="96" l="1" a="1"/>
  <c r="H12" i="96" l="1"/>
  <c r="H14" i="96"/>
  <c r="H21" i="96"/>
  <c r="H13" i="96"/>
  <c r="H18" i="96"/>
  <c r="H20" i="96"/>
  <c r="H17" i="96"/>
  <c r="H19" i="96"/>
  <c r="H15" i="96"/>
  <c r="H16" i="96"/>
  <c r="H10" i="96" l="1"/>
  <c r="L114" i="95" l="1"/>
  <c r="L115" i="95" s="1"/>
  <c r="AF102" i="95"/>
  <c r="AF101" i="95"/>
  <c r="K68" i="95"/>
  <c r="S159" i="95" s="1"/>
  <c r="K67" i="95"/>
  <c r="J29" i="95"/>
  <c r="J28" i="95"/>
  <c r="K71" i="95" l="1"/>
  <c r="L116" i="95"/>
  <c r="K73" i="95"/>
  <c r="K72" i="95"/>
  <c r="K74" i="95" s="1"/>
  <c r="N107" i="95"/>
  <c r="N108" i="95"/>
  <c r="AR135" i="95" s="1"/>
  <c r="AR136" i="95" s="1"/>
  <c r="AR137" i="95" s="1"/>
  <c r="S158" i="95"/>
  <c r="AY169" i="95" s="1"/>
  <c r="AY170" i="95" s="1"/>
  <c r="P120" i="95" l="1"/>
  <c r="P119" i="95"/>
  <c r="L119" i="95"/>
  <c r="L120" i="95"/>
  <c r="K75" i="95"/>
  <c r="W99" i="9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<sst xmlns="http://schemas.openxmlformats.org/spreadsheetml/2006/main" count="279" uniqueCount="184">
  <si>
    <t xml:space="preserve">Here we will analyse the three distribution table </t>
  </si>
  <si>
    <t>how software market is growing in USA.</t>
  </si>
  <si>
    <t>year</t>
  </si>
  <si>
    <t>average salary of junior software engineer</t>
  </si>
  <si>
    <t>marketshare of software profits</t>
  </si>
  <si>
    <t>Software developers employed</t>
  </si>
  <si>
    <t>(in $)</t>
  </si>
  <si>
    <t>(in Billion $)</t>
  </si>
  <si>
    <t>Marketshare of software profit</t>
  </si>
  <si>
    <t>min</t>
  </si>
  <si>
    <t>max</t>
  </si>
  <si>
    <t>Bin</t>
  </si>
  <si>
    <t>Frequency</t>
  </si>
  <si>
    <t>More</t>
  </si>
  <si>
    <t>Assuming target for marketshare software profit between 240 and 340</t>
  </si>
  <si>
    <t>Mean</t>
  </si>
  <si>
    <t>Sigma</t>
  </si>
  <si>
    <r>
      <t>X</t>
    </r>
    <r>
      <rPr>
        <vertAlign val="subscript"/>
        <sz val="11"/>
        <color theme="1"/>
        <rFont val="Calibri"/>
        <family val="2"/>
        <scheme val="minor"/>
      </rPr>
      <t>lower</t>
    </r>
  </si>
  <si>
    <r>
      <t>X</t>
    </r>
    <r>
      <rPr>
        <vertAlign val="subscript"/>
        <sz val="11"/>
        <color theme="1"/>
        <rFont val="Calibri"/>
        <family val="2"/>
        <scheme val="minor"/>
      </rPr>
      <t>upper</t>
    </r>
  </si>
  <si>
    <r>
      <t>Z</t>
    </r>
    <r>
      <rPr>
        <vertAlign val="subscript"/>
        <sz val="11"/>
        <color theme="1"/>
        <rFont val="Calibri"/>
        <family val="2"/>
        <scheme val="minor"/>
      </rPr>
      <t>lower</t>
    </r>
  </si>
  <si>
    <r>
      <t>Z</t>
    </r>
    <r>
      <rPr>
        <vertAlign val="subscript"/>
        <sz val="11"/>
        <color theme="1"/>
        <rFont val="Calibri"/>
        <family val="2"/>
        <scheme val="minor"/>
      </rPr>
      <t>upper</t>
    </r>
  </si>
  <si>
    <r>
      <t>P &lt; X</t>
    </r>
    <r>
      <rPr>
        <vertAlign val="subscript"/>
        <sz val="11"/>
        <color theme="1"/>
        <rFont val="Calibri"/>
        <family val="2"/>
        <scheme val="minor"/>
      </rPr>
      <t>lower</t>
    </r>
  </si>
  <si>
    <r>
      <t>P &gt; X</t>
    </r>
    <r>
      <rPr>
        <vertAlign val="subscript"/>
        <sz val="11"/>
        <color theme="1"/>
        <rFont val="Calibri"/>
        <family val="2"/>
        <scheme val="minor"/>
      </rPr>
      <t>upper</t>
    </r>
  </si>
  <si>
    <t>P between</t>
  </si>
  <si>
    <t>Upper targets</t>
  </si>
  <si>
    <t>Lower targets</t>
  </si>
  <si>
    <t>90% confidence interval</t>
  </si>
  <si>
    <t>95% confidence interval</t>
  </si>
  <si>
    <t>Confidence level</t>
  </si>
  <si>
    <r>
      <t xml:space="preserve">Significance </t>
    </r>
    <r>
      <rPr>
        <sz val="11"/>
        <color theme="1"/>
        <rFont val="Symbol"/>
        <family val="1"/>
        <charset val="2"/>
      </rPr>
      <t>a</t>
    </r>
  </si>
  <si>
    <r>
      <t xml:space="preserve">P Lower Limit = 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</rPr>
      <t>/2</t>
    </r>
  </si>
  <si>
    <r>
      <t xml:space="preserve">P Upper Limit = 1 - 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</rPr>
      <t>/2</t>
    </r>
  </si>
  <si>
    <r>
      <t>Z</t>
    </r>
    <r>
      <rPr>
        <vertAlign val="subscript"/>
        <sz val="11"/>
        <color theme="1"/>
        <rFont val="Calibri"/>
        <family val="2"/>
        <scheme val="minor"/>
      </rPr>
      <t>LL</t>
    </r>
  </si>
  <si>
    <r>
      <t>Z</t>
    </r>
    <r>
      <rPr>
        <vertAlign val="subscript"/>
        <sz val="11"/>
        <color theme="1"/>
        <rFont val="Calibri"/>
        <family val="2"/>
        <scheme val="minor"/>
      </rPr>
      <t>UL</t>
    </r>
  </si>
  <si>
    <t xml:space="preserve">Lower Limit </t>
  </si>
  <si>
    <t xml:space="preserve">Upper Limit </t>
  </si>
  <si>
    <t>X</t>
  </si>
  <si>
    <t>Z</t>
  </si>
  <si>
    <t>Sample Generator</t>
  </si>
  <si>
    <t>Sample1</t>
  </si>
  <si>
    <t>Count Total</t>
  </si>
  <si>
    <t>Simulating the distributions</t>
  </si>
  <si>
    <t>Simulation Output</t>
  </si>
  <si>
    <t>Simulation results for Sheet1</t>
  </si>
  <si>
    <t>100 iterations</t>
  </si>
  <si>
    <t>SD</t>
  </si>
  <si>
    <t>Min</t>
  </si>
  <si>
    <t>Step</t>
  </si>
  <si>
    <t>Total count</t>
  </si>
  <si>
    <t>Bin Label</t>
  </si>
  <si>
    <t>Bin Max</t>
  </si>
  <si>
    <t>Sampling the simulation and analysing them</t>
  </si>
  <si>
    <t>Sample2</t>
  </si>
  <si>
    <t>Sample Analysis</t>
  </si>
  <si>
    <t>Sample1 Analysis</t>
  </si>
  <si>
    <t>Sample2 Analysis</t>
  </si>
  <si>
    <t>Z at 95% confidence has an interval of -1.96 to 1.96</t>
  </si>
  <si>
    <t>Both the samples Z falls within this range, thus the samples are representing the population</t>
  </si>
  <si>
    <t>95% confidence</t>
  </si>
  <si>
    <t>Significance α</t>
  </si>
  <si>
    <t>Target</t>
  </si>
  <si>
    <t>P &gt; Target</t>
  </si>
  <si>
    <t>Proportion &gt; 320</t>
  </si>
  <si>
    <t>Count &gt; 320</t>
  </si>
  <si>
    <t xml:space="preserve"> </t>
  </si>
  <si>
    <t>Correlation</t>
  </si>
  <si>
    <t>Covariance</t>
  </si>
  <si>
    <t>Covariance and correlation for marketshare and software developers employed</t>
  </si>
  <si>
    <t>Covariance and correlation for the market share and junior software developers employed</t>
  </si>
  <si>
    <t>From correlation, we can prove that the two distributions are positively related</t>
  </si>
  <si>
    <t xml:space="preserve">From covariance, we can see that both the distributions are toward the positive side </t>
  </si>
  <si>
    <t>Count</t>
  </si>
  <si>
    <t xml:space="preserve">df 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</si>
  <si>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</si>
  <si>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</si>
  <si>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</si>
  <si>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</si>
  <si>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</si>
  <si>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</si>
  <si>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</si>
  <si>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</si>
  <si>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</si>
  <si>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</si>
  <si>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</si>
  <si>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</si>
  <si>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</si>
  <si>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</si>
  <si>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</si>
  <si>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</si>
  <si>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</si>
  <si>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</si>
  <si>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</si>
  <si>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</si>
  <si>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</si>
  <si>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</si>
  <si>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</si>
  <si>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</si>
  <si>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</si>
  <si>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Y= 688817.75 + 2293.17*Software Developers Employed</t>
  </si>
  <si>
    <t>Software Developers Employed in 2022</t>
  </si>
  <si>
    <t>y</t>
  </si>
  <si>
    <t>Analysis of database based on proportion</t>
  </si>
  <si>
    <t>T Distribution method</t>
  </si>
  <si>
    <t>Target (X)</t>
  </si>
  <si>
    <t>Standard deviation</t>
  </si>
  <si>
    <t>Counting method</t>
  </si>
  <si>
    <t>Total count of data</t>
  </si>
  <si>
    <t>which is not the case in the other distributions of the database which gives the details in terms of percentages and per 100 people</t>
  </si>
  <si>
    <t>Creating two Samples of the data and analysing them</t>
  </si>
  <si>
    <t>Proportion Analysis of the data</t>
  </si>
  <si>
    <t>Count total</t>
  </si>
  <si>
    <t>Z at 95% confidence has an interval of -2.26 to 2.26 (T distribution)</t>
  </si>
  <si>
    <t>Sample for hypothesis testing</t>
  </si>
  <si>
    <r>
      <t>H</t>
    </r>
    <r>
      <rPr>
        <vertAlign val="subscript"/>
        <sz val="11"/>
        <color theme="1"/>
        <rFont val="Calibri"/>
        <family val="2"/>
        <scheme val="minor"/>
      </rPr>
      <t>0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</si>
  <si>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</si>
  <si>
    <t>n</t>
  </si>
  <si>
    <t>µ</t>
  </si>
  <si>
    <t>σ</t>
  </si>
  <si>
    <t>SE</t>
  </si>
  <si>
    <t>P-value &gt;</t>
  </si>
  <si>
    <t>T.dist</t>
  </si>
  <si>
    <t>normsdist</t>
  </si>
  <si>
    <t>α</t>
  </si>
  <si>
    <t>Proportion &gt; 320 (counting)</t>
  </si>
  <si>
    <t>Proportion greater than 320</t>
  </si>
  <si>
    <t>Count greater than 320</t>
  </si>
  <si>
    <t>Proportion &gt; 320(counting)</t>
  </si>
  <si>
    <t>Count of data &gt; 320</t>
  </si>
  <si>
    <t>The results of achieving the target of above 320 billion dollars  is 48% by T distribution and 67% by counting</t>
  </si>
  <si>
    <t>BIN</t>
  </si>
  <si>
    <t>Identifying the confidence intervals</t>
  </si>
  <si>
    <t>average salary of a software engineer</t>
  </si>
  <si>
    <t>Software developers Employment over th years</t>
  </si>
  <si>
    <t>Variation Analyis of Target Values</t>
  </si>
  <si>
    <r>
      <t>p</t>
    </r>
    <r>
      <rPr>
        <sz val="11"/>
        <rFont val="Calibri"/>
        <family val="2"/>
      </rPr>
      <t>̅</t>
    </r>
  </si>
  <si>
    <r>
      <t xml:space="preserve">P Lower Limit = </t>
    </r>
    <r>
      <rPr>
        <sz val="11"/>
        <rFont val="Calibri"/>
        <family val="2"/>
      </rPr>
      <t>α/2</t>
    </r>
  </si>
  <si>
    <r>
      <t>P Upper Limit = 1 - α</t>
    </r>
    <r>
      <rPr>
        <sz val="11"/>
        <rFont val="Calibri"/>
        <family val="2"/>
      </rPr>
      <t>/2</t>
    </r>
  </si>
  <si>
    <r>
      <t>Z</t>
    </r>
    <r>
      <rPr>
        <vertAlign val="subscript"/>
        <sz val="11"/>
        <rFont val="Calibri"/>
        <family val="2"/>
        <scheme val="minor"/>
      </rPr>
      <t>LL</t>
    </r>
  </si>
  <si>
    <r>
      <t>Z</t>
    </r>
    <r>
      <rPr>
        <vertAlign val="subscript"/>
        <sz val="11"/>
        <rFont val="Calibri"/>
        <family val="2"/>
        <scheme val="minor"/>
      </rPr>
      <t>UL</t>
    </r>
  </si>
  <si>
    <r>
      <rPr>
        <u/>
        <sz val="11"/>
        <rFont val="Calibri"/>
        <family val="2"/>
        <scheme val="minor"/>
      </rPr>
      <t>Sample 1</t>
    </r>
    <r>
      <rPr>
        <sz val="11"/>
        <rFont val="Calibri"/>
        <family val="2"/>
        <scheme val="minor"/>
      </rPr>
      <t>: 95% chance that the market share will be between 106.86 and 328.44</t>
    </r>
  </si>
  <si>
    <r>
      <t>H</t>
    </r>
    <r>
      <rPr>
        <vertAlign val="subscript"/>
        <sz val="11"/>
        <rFont val="Calibri"/>
        <family val="2"/>
        <scheme val="minor"/>
      </rPr>
      <t>0</t>
    </r>
  </si>
  <si>
    <r>
      <t>H</t>
    </r>
    <r>
      <rPr>
        <vertAlign val="subscript"/>
        <sz val="11"/>
        <rFont val="Calibri"/>
        <family val="2"/>
        <scheme val="minor"/>
      </rPr>
      <t>A</t>
    </r>
  </si>
  <si>
    <r>
      <t>x</t>
    </r>
    <r>
      <rPr>
        <sz val="11"/>
        <rFont val="Calibri"/>
        <family val="2"/>
      </rPr>
      <t>̅</t>
    </r>
  </si>
  <si>
    <r>
      <t>σ/</t>
    </r>
    <r>
      <rPr>
        <sz val="11"/>
        <rFont val="Symbol"/>
        <family val="1"/>
        <charset val="2"/>
      </rPr>
      <t>Ö</t>
    </r>
    <r>
      <rPr>
        <sz val="11"/>
        <rFont val="Arial"/>
        <family val="2"/>
      </rPr>
      <t>n</t>
    </r>
  </si>
  <si>
    <r>
      <t xml:space="preserve">(Xbar - </t>
    </r>
    <r>
      <rPr>
        <sz val="11"/>
        <rFont val="Symbol"/>
        <family val="1"/>
        <charset val="2"/>
      </rPr>
      <t>m</t>
    </r>
    <r>
      <rPr>
        <sz val="11"/>
        <rFont val="Calibri"/>
        <family val="2"/>
      </rPr>
      <t>)/SE</t>
    </r>
  </si>
  <si>
    <r>
      <t>Critical Value: Z</t>
    </r>
    <r>
      <rPr>
        <vertAlign val="subscript"/>
        <sz val="11"/>
        <rFont val="Calibri"/>
        <family val="2"/>
        <scheme val="minor"/>
      </rPr>
      <t>LL</t>
    </r>
  </si>
  <si>
    <r>
      <t>Since the p-value is larger than alpha and Z is less than the critical value, we do not reject the null hypothesis H</t>
    </r>
    <r>
      <rPr>
        <vertAlign val="subscript"/>
        <sz val="11"/>
        <rFont val="Calibri"/>
        <family val="2"/>
        <scheme val="minor"/>
      </rPr>
      <t>0</t>
    </r>
    <r>
      <rPr>
        <sz val="11"/>
        <rFont val="Calibri"/>
        <family val="2"/>
        <scheme val="minor"/>
      </rPr>
      <t xml:space="preserve"> at 5% level</t>
    </r>
  </si>
  <si>
    <t xml:space="preserve">Graphical view of data </t>
  </si>
  <si>
    <t>µ ≤ 300</t>
  </si>
  <si>
    <t>µ &gt; 300</t>
  </si>
  <si>
    <t>and conclude that the average market share value  will be lesser than or equal to 300 billion</t>
  </si>
  <si>
    <t xml:space="preserve">Using regression analysis we can get an value of the market share  for the years 2022  </t>
  </si>
  <si>
    <t xml:space="preserve">Thus in the year 2022, since there is going to be a attrition it would not be making much profit in the subsequent years </t>
  </si>
  <si>
    <t>in billions</t>
  </si>
  <si>
    <t>95% chance that the market share value  will be between-461.07 and 675.74 million users</t>
  </si>
  <si>
    <t>Considering only the upper limit, we have 95% probability of market share will be 675.74 billion  in the coming years</t>
  </si>
  <si>
    <r>
      <t>P Lower Limit = α</t>
    </r>
    <r>
      <rPr>
        <sz val="11"/>
        <rFont val="Calibri"/>
        <family val="2"/>
      </rPr>
      <t>/2</t>
    </r>
  </si>
  <si>
    <t>Using Simulation Tool</t>
  </si>
  <si>
    <t>Histogram of simulation</t>
  </si>
  <si>
    <t>The reason they are slightly on the higher side is due to the remote nature of work that had been developed during covid</t>
  </si>
  <si>
    <t>The distribution that defines the database will be the market share profits over the years  because it gives us the details of revenue generated each year</t>
  </si>
  <si>
    <t>Also, the other distributions are average salary and a number of people employed gives an idea of origins of market share profit value which largely could be the output generated  . Hence</t>
  </si>
  <si>
    <t>Hence I have done an analysis of market share profit value  largely .</t>
  </si>
  <si>
    <t>Identifying the distributions that make up the database</t>
  </si>
  <si>
    <t>90% of the chance market share will be between 96 and 531 billion</t>
  </si>
  <si>
    <t>Forming an hypothesis for a sample obtained from the data</t>
  </si>
  <si>
    <t>Average salary of software</t>
  </si>
  <si>
    <t>Chisquare test</t>
  </si>
  <si>
    <t>Sample generator</t>
  </si>
  <si>
    <t>Sample 1- Observed(O)</t>
  </si>
  <si>
    <t>Sample 2- Expected(E)</t>
  </si>
  <si>
    <t>O-E</t>
  </si>
  <si>
    <r>
      <t>(O-E)</t>
    </r>
    <r>
      <rPr>
        <vertAlign val="superscript"/>
        <sz val="11"/>
        <color theme="1"/>
        <rFont val="Calibri"/>
        <family val="2"/>
        <scheme val="minor"/>
      </rPr>
      <t>2</t>
    </r>
  </si>
  <si>
    <r>
      <t>(O-E)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/E</t>
    </r>
  </si>
  <si>
    <t>Chisquare</t>
  </si>
  <si>
    <t>Expected percentages</t>
  </si>
  <si>
    <t>At least one probability differs from expected</t>
  </si>
  <si>
    <t xml:space="preserve">Significance level </t>
  </si>
  <si>
    <r>
      <t>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value Upper Limit</t>
    </r>
  </si>
  <si>
    <t>As the P-value is greater than the significance level, we do not reject the null hypothesis.</t>
  </si>
  <si>
    <t>Hence, the expected value is same as the observed values.</t>
  </si>
  <si>
    <r>
      <rPr>
        <u/>
        <sz val="11"/>
        <rFont val="Calibri"/>
        <family val="2"/>
        <scheme val="minor"/>
      </rPr>
      <t>Sample 2</t>
    </r>
    <r>
      <rPr>
        <sz val="11"/>
        <rFont val="Calibri"/>
        <family val="2"/>
        <scheme val="minor"/>
      </rPr>
      <t>: 95% chance that the market share will be between 445.36 to 535 Billion dollars</t>
    </r>
  </si>
  <si>
    <t>95% chance marketshare will be 49.85 to 577.65  billion</t>
  </si>
  <si>
    <t>Considereing right-tail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</si>
</sst>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P between&quot;"/>
    <numFmt numFmtId="165" formatCode="0.0%"/>
    <numFmt numFmtId="166" formatCode="0.0"/>
    <numFmt numFmtId="167" formatCode="0.00000000000000%"/>
  </numFmts>
  <fonts count="2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u/>
      <sz val="11"/>
      <color theme="5" tint="-0.249977111117893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5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name val="Calibri"/>
      <family val="2"/>
    </font>
    <font>
      <vertAlign val="subscript"/>
      <sz val="11"/>
      <name val="Calibri"/>
      <family val="2"/>
      <scheme val="minor"/>
    </font>
    <font>
      <u/>
      <sz val="11"/>
      <name val="Calibri"/>
      <family val="2"/>
      <scheme val="minor"/>
    </font>
    <font>
      <sz val="11"/>
      <name val="Symbol"/>
      <family val="1"/>
      <charset val="2"/>
    </font>
    <font>
      <sz val="11"/>
      <name val="Arial"/>
      <family val="2"/>
    </font>
    <font>
      <b/>
      <sz val="14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9" fontId="3" fillId="0" borderId="0" applyFont="0" applyFill="0" applyBorder="0" applyAlignment="0" applyProtection="0"/>
    <xf numFmtId="0" fontId="5" fillId="0" borderId="0"/>
  </cellStyleXfs>
  <cellXfs count="271">
    <xf numFmtId="0" fontId="0" fillId="0" borderId="0" xfId="0"/>
    <xf numFmtId="0" fontId="5" fillId="0" borderId="0" xfId="26" applyAlignment="1">
      <alignment horizontal="left" vertical="center"/>
    </xf>
    <xf numFmtId="4" fontId="5" fillId="0" borderId="0" xfId="26" applyNumberFormat="1" applyAlignment="1">
      <alignment horizontal="right" vertical="center"/>
    </xf>
    <xf numFmtId="0" fontId="4" fillId="0" borderId="1" xfId="0" applyFont="1" applyBorder="1"/>
    <xf numFmtId="0" fontId="0" fillId="0" borderId="1" xfId="0" applyBorder="1"/>
    <xf numFmtId="3" fontId="5" fillId="0" borderId="0" xfId="26" applyNumberFormat="1" applyAlignment="1">
      <alignment horizontal="right" vertical="center"/>
    </xf>
    <xf numFmtId="4" fontId="5" fillId="0" borderId="1" xfId="26" applyNumberFormat="1" applyBorder="1" applyAlignment="1">
      <alignment horizontal="right" vertical="center"/>
    </xf>
    <xf numFmtId="3" fontId="5" fillId="0" borderId="1" xfId="26" applyNumberFormat="1" applyBorder="1" applyAlignment="1">
      <alignment horizontal="right"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6" fillId="0" borderId="7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2" fontId="0" fillId="0" borderId="15" xfId="0" applyNumberFormat="1" applyBorder="1" applyAlignment="1">
      <alignment horizontal="center"/>
    </xf>
    <xf numFmtId="0" fontId="6" fillId="0" borderId="1" xfId="0" applyFont="1" applyBorder="1" applyAlignment="1">
      <alignment horizontal="center"/>
    </xf>
    <xf numFmtId="1" fontId="0" fillId="0" borderId="15" xfId="0" applyNumberFormat="1" applyBorder="1" applyAlignment="1">
      <alignment horizontal="center"/>
    </xf>
    <xf numFmtId="9" fontId="0" fillId="2" borderId="15" xfId="25" applyFont="1" applyFill="1" applyBorder="1" applyAlignment="1">
      <alignment horizontal="center"/>
    </xf>
    <xf numFmtId="0" fontId="0" fillId="0" borderId="16" xfId="0" applyBorder="1" applyAlignment="1">
      <alignment horizontal="center"/>
    </xf>
    <xf numFmtId="9" fontId="0" fillId="2" borderId="17" xfId="25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9" fontId="0" fillId="0" borderId="0" xfId="25" applyFont="1" applyFill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3" xfId="0" applyBorder="1"/>
    <xf numFmtId="2" fontId="0" fillId="0" borderId="17" xfId="0" applyNumberFormat="1" applyBorder="1" applyAlignment="1">
      <alignment horizontal="center"/>
    </xf>
    <xf numFmtId="0" fontId="0" fillId="0" borderId="24" xfId="0" applyBorder="1"/>
    <xf numFmtId="0" fontId="0" fillId="0" borderId="26" xfId="0" applyBorder="1"/>
    <xf numFmtId="0" fontId="13" fillId="0" borderId="20" xfId="0" applyFont="1" applyBorder="1"/>
    <xf numFmtId="0" fontId="0" fillId="0" borderId="1" xfId="0" applyBorder="1" applyAlignment="1">
      <alignment horizontal="center"/>
    </xf>
    <xf numFmtId="0" fontId="0" fillId="0" borderId="25" xfId="0" applyBorder="1"/>
    <xf numFmtId="0" fontId="0" fillId="3" borderId="0" xfId="0" applyFill="1"/>
    <xf numFmtId="2" fontId="0" fillId="0" borderId="0" xfId="0" applyNumberFormat="1"/>
    <xf numFmtId="0" fontId="11" fillId="0" borderId="0" xfId="0" applyFont="1"/>
    <xf numFmtId="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6" fillId="0" borderId="7" xfId="0" applyFont="1" applyBorder="1" applyAlignment="1">
      <alignment horizontal="centerContinuous"/>
    </xf>
    <xf numFmtId="11" fontId="0" fillId="0" borderId="0" xfId="0" applyNumberFormat="1"/>
    <xf numFmtId="11" fontId="0" fillId="0" borderId="8" xfId="0" applyNumberFormat="1" applyBorder="1"/>
    <xf numFmtId="2" fontId="0" fillId="0" borderId="8" xfId="0" applyNumberFormat="1" applyBorder="1"/>
    <xf numFmtId="0" fontId="16" fillId="0" borderId="0" xfId="0" applyFont="1"/>
    <xf numFmtId="0" fontId="17" fillId="0" borderId="0" xfId="0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2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25" applyNumberFormat="1" applyFont="1" applyFill="1" applyBorder="1" applyAlignment="1">
      <alignment horizontal="center"/>
    </xf>
    <xf numFmtId="2" fontId="0" fillId="0" borderId="0" xfId="25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14" fillId="0" borderId="0" xfId="0" applyFont="1" applyAlignment="1">
      <alignment horizontal="center"/>
    </xf>
    <xf numFmtId="9" fontId="0" fillId="0" borderId="0" xfId="0" applyNumberFormat="1" applyAlignment="1">
      <alignment horizontal="center"/>
    </xf>
    <xf numFmtId="165" fontId="0" fillId="0" borderId="0" xfId="25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2" fontId="0" fillId="0" borderId="8" xfId="0" applyNumberFormat="1" applyBorder="1" applyAlignment="1">
      <alignment horizontal="center"/>
    </xf>
    <xf numFmtId="9" fontId="0" fillId="0" borderId="1" xfId="25" applyFont="1" applyFill="1" applyBorder="1" applyAlignment="1">
      <alignment horizontal="center"/>
    </xf>
    <xf numFmtId="9" fontId="0" fillId="0" borderId="1" xfId="0" applyNumberFormat="1" applyBorder="1"/>
    <xf numFmtId="0" fontId="0" fillId="0" borderId="0" xfId="0" applyBorder="1"/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20" xfId="0" applyBorder="1" applyAlignment="1">
      <alignment horizontal="center"/>
    </xf>
    <xf numFmtId="9" fontId="0" fillId="0" borderId="21" xfId="25" applyFont="1" applyFill="1" applyBorder="1" applyAlignment="1">
      <alignment horizontal="center"/>
    </xf>
    <xf numFmtId="9" fontId="0" fillId="0" borderId="24" xfId="25" applyFont="1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0" borderId="23" xfId="0" applyBorder="1" applyAlignment="1">
      <alignment horizontal="center"/>
    </xf>
    <xf numFmtId="9" fontId="0" fillId="0" borderId="24" xfId="0" applyNumberFormat="1" applyBorder="1" applyAlignment="1">
      <alignment horizontal="center"/>
    </xf>
    <xf numFmtId="9" fontId="0" fillId="0" borderId="24" xfId="25" applyFon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0" fillId="2" borderId="24" xfId="0" applyNumberFormat="1" applyFill="1" applyBorder="1" applyAlignment="1">
      <alignment horizontal="center"/>
    </xf>
    <xf numFmtId="0" fontId="0" fillId="0" borderId="25" xfId="0" applyBorder="1" applyAlignment="1">
      <alignment horizontal="center"/>
    </xf>
    <xf numFmtId="2" fontId="0" fillId="2" borderId="26" xfId="0" applyNumberFormat="1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65" fontId="0" fillId="0" borderId="24" xfId="25" applyNumberFormat="1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applyNumberFormat="1"/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8" xfId="0" applyFill="1" applyBorder="1" applyAlignment="1"/>
    <xf numFmtId="0" fontId="6" fillId="0" borderId="7" xfId="0" applyFont="1" applyFill="1" applyBorder="1" applyAlignment="1">
      <alignment horizontal="center"/>
    </xf>
    <xf numFmtId="3" fontId="5" fillId="0" borderId="0" xfId="26" applyNumberFormat="1" applyBorder="1" applyAlignment="1">
      <alignment horizontal="right" vertical="center"/>
    </xf>
    <xf numFmtId="0" fontId="0" fillId="0" borderId="0" xfId="0" applyBorder="1" applyAlignment="1">
      <alignment horizontal="right"/>
    </xf>
    <xf numFmtId="0" fontId="6" fillId="0" borderId="0" xfId="0" applyFont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0" fillId="2" borderId="35" xfId="0" applyFill="1" applyBorder="1" applyAlignment="1">
      <alignment horizontal="center"/>
    </xf>
    <xf numFmtId="0" fontId="7" fillId="0" borderId="3" xfId="0" applyFont="1" applyBorder="1"/>
    <xf numFmtId="164" fontId="0" fillId="0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9" fontId="0" fillId="5" borderId="1" xfId="25" applyFont="1" applyFill="1" applyBorder="1" applyAlignment="1">
      <alignment horizontal="center"/>
    </xf>
    <xf numFmtId="9" fontId="0" fillId="0" borderId="0" xfId="0" applyNumberFormat="1" applyBorder="1"/>
    <xf numFmtId="0" fontId="11" fillId="0" borderId="0" xfId="0" applyFont="1" applyBorder="1" applyAlignment="1">
      <alignment horizontal="center"/>
    </xf>
    <xf numFmtId="9" fontId="0" fillId="0" borderId="23" xfId="25" applyFont="1" applyFill="1" applyBorder="1" applyAlignment="1">
      <alignment horizontal="center"/>
    </xf>
    <xf numFmtId="0" fontId="13" fillId="0" borderId="8" xfId="0" applyFont="1" applyBorder="1"/>
    <xf numFmtId="0" fontId="13" fillId="0" borderId="20" xfId="0" applyFont="1" applyFill="1" applyBorder="1"/>
    <xf numFmtId="0" fontId="0" fillId="0" borderId="20" xfId="0" applyFill="1" applyBorder="1"/>
    <xf numFmtId="0" fontId="17" fillId="0" borderId="20" xfId="0" applyFont="1" applyFill="1" applyBorder="1"/>
    <xf numFmtId="0" fontId="17" fillId="0" borderId="19" xfId="0" applyFont="1" applyBorder="1"/>
    <xf numFmtId="0" fontId="18" fillId="0" borderId="20" xfId="0" applyFont="1" applyBorder="1"/>
    <xf numFmtId="0" fontId="18" fillId="0" borderId="21" xfId="0" applyFont="1" applyBorder="1"/>
    <xf numFmtId="0" fontId="18" fillId="0" borderId="23" xfId="0" applyFont="1" applyBorder="1"/>
    <xf numFmtId="0" fontId="18" fillId="0" borderId="0" xfId="0" applyFont="1"/>
    <xf numFmtId="0" fontId="18" fillId="0" borderId="24" xfId="0" applyFont="1" applyBorder="1"/>
    <xf numFmtId="2" fontId="18" fillId="0" borderId="29" xfId="0" applyNumberFormat="1" applyFont="1" applyBorder="1" applyAlignment="1">
      <alignment horizontal="center"/>
    </xf>
    <xf numFmtId="2" fontId="18" fillId="0" borderId="0" xfId="0" applyNumberFormat="1" applyFont="1"/>
    <xf numFmtId="0" fontId="18" fillId="0" borderId="2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8" fillId="0" borderId="6" xfId="0" applyFont="1" applyBorder="1" applyAlignment="1">
      <alignment horizontal="center"/>
    </xf>
    <xf numFmtId="2" fontId="18" fillId="0" borderId="6" xfId="25" applyNumberFormat="1" applyFont="1" applyBorder="1" applyAlignment="1">
      <alignment horizontal="center"/>
    </xf>
    <xf numFmtId="0" fontId="18" fillId="0" borderId="5" xfId="0" applyFont="1" applyBorder="1"/>
    <xf numFmtId="0" fontId="18" fillId="0" borderId="6" xfId="0" applyFont="1" applyBorder="1"/>
    <xf numFmtId="0" fontId="18" fillId="0" borderId="6" xfId="0" applyFont="1" applyBorder="1" applyAlignment="1">
      <alignment horizontal="center"/>
    </xf>
    <xf numFmtId="0" fontId="19" fillId="0" borderId="0" xfId="0" applyFont="1"/>
    <xf numFmtId="0" fontId="17" fillId="0" borderId="0" xfId="0" applyFont="1" applyAlignment="1">
      <alignment horizontal="center"/>
    </xf>
    <xf numFmtId="0" fontId="18" fillId="0" borderId="29" xfId="0" applyFont="1" applyBorder="1" applyAlignment="1">
      <alignment horizontal="center"/>
    </xf>
    <xf numFmtId="2" fontId="18" fillId="0" borderId="4" xfId="0" applyNumberFormat="1" applyFont="1" applyBorder="1" applyAlignment="1">
      <alignment horizontal="center"/>
    </xf>
    <xf numFmtId="0" fontId="18" fillId="0" borderId="27" xfId="0" applyFont="1" applyBorder="1" applyAlignment="1">
      <alignment horizontal="center"/>
    </xf>
    <xf numFmtId="2" fontId="18" fillId="0" borderId="27" xfId="0" applyNumberFormat="1" applyFont="1" applyBorder="1" applyAlignment="1">
      <alignment horizontal="center"/>
    </xf>
    <xf numFmtId="2" fontId="18" fillId="0" borderId="6" xfId="0" applyNumberFormat="1" applyFont="1" applyBorder="1" applyAlignment="1">
      <alignment horizontal="center"/>
    </xf>
    <xf numFmtId="0" fontId="18" fillId="0" borderId="28" xfId="0" applyFont="1" applyBorder="1" applyAlignment="1">
      <alignment horizontal="center"/>
    </xf>
    <xf numFmtId="165" fontId="18" fillId="0" borderId="28" xfId="25" applyNumberFormat="1" applyFont="1" applyBorder="1" applyAlignment="1">
      <alignment horizontal="center"/>
    </xf>
    <xf numFmtId="165" fontId="18" fillId="0" borderId="11" xfId="25" applyNumberFormat="1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8" fillId="0" borderId="2" xfId="0" applyFont="1" applyBorder="1"/>
    <xf numFmtId="0" fontId="17" fillId="0" borderId="3" xfId="0" applyFont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8" fillId="0" borderId="27" xfId="0" applyFont="1" applyBorder="1" applyAlignment="1">
      <alignment horizontal="center" wrapText="1"/>
    </xf>
    <xf numFmtId="9" fontId="18" fillId="0" borderId="27" xfId="25" applyFont="1" applyBorder="1" applyAlignment="1">
      <alignment horizontal="center"/>
    </xf>
    <xf numFmtId="9" fontId="18" fillId="0" borderId="6" xfId="25" applyFont="1" applyBorder="1" applyAlignment="1">
      <alignment horizontal="center"/>
    </xf>
    <xf numFmtId="0" fontId="18" fillId="0" borderId="27" xfId="0" applyFont="1" applyBorder="1"/>
    <xf numFmtId="9" fontId="18" fillId="0" borderId="0" xfId="25" applyFont="1" applyBorder="1" applyAlignment="1">
      <alignment horizontal="center"/>
    </xf>
    <xf numFmtId="9" fontId="18" fillId="0" borderId="6" xfId="25" applyFont="1" applyBorder="1" applyAlignment="1">
      <alignment horizontal="center"/>
    </xf>
    <xf numFmtId="9" fontId="18" fillId="0" borderId="6" xfId="0" applyNumberFormat="1" applyFont="1" applyBorder="1" applyAlignment="1">
      <alignment horizontal="center"/>
    </xf>
    <xf numFmtId="0" fontId="19" fillId="0" borderId="31" xfId="0" applyFont="1" applyBorder="1" applyAlignment="1">
      <alignment horizontal="center"/>
    </xf>
    <xf numFmtId="0" fontId="19" fillId="0" borderId="32" xfId="0" applyFont="1" applyBorder="1" applyAlignment="1">
      <alignment horizontal="center"/>
    </xf>
    <xf numFmtId="0" fontId="19" fillId="0" borderId="30" xfId="0" applyFont="1" applyBorder="1" applyAlignment="1">
      <alignment horizontal="center"/>
    </xf>
    <xf numFmtId="9" fontId="18" fillId="0" borderId="0" xfId="0" applyNumberFormat="1" applyFont="1" applyAlignment="1">
      <alignment horizontal="center"/>
    </xf>
    <xf numFmtId="9" fontId="18" fillId="0" borderId="6" xfId="0" applyNumberFormat="1" applyFont="1" applyBorder="1" applyAlignment="1">
      <alignment horizontal="center"/>
    </xf>
    <xf numFmtId="165" fontId="18" fillId="0" borderId="0" xfId="25" applyNumberFormat="1" applyFont="1" applyBorder="1" applyAlignment="1">
      <alignment horizontal="center"/>
    </xf>
    <xf numFmtId="165" fontId="18" fillId="0" borderId="6" xfId="25" applyNumberFormat="1" applyFont="1" applyBorder="1" applyAlignment="1">
      <alignment horizontal="center"/>
    </xf>
    <xf numFmtId="2" fontId="18" fillId="0" borderId="0" xfId="0" applyNumberFormat="1" applyFont="1" applyAlignment="1">
      <alignment horizontal="center"/>
    </xf>
    <xf numFmtId="2" fontId="18" fillId="0" borderId="6" xfId="0" applyNumberFormat="1" applyFont="1" applyBorder="1" applyAlignment="1">
      <alignment horizontal="center"/>
    </xf>
    <xf numFmtId="0" fontId="18" fillId="6" borderId="29" xfId="0" applyFont="1" applyFill="1" applyBorder="1" applyAlignment="1">
      <alignment horizontal="center"/>
    </xf>
    <xf numFmtId="0" fontId="18" fillId="5" borderId="9" xfId="0" applyFont="1" applyFill="1" applyBorder="1" applyAlignment="1">
      <alignment horizontal="center"/>
    </xf>
    <xf numFmtId="0" fontId="18" fillId="5" borderId="10" xfId="0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9" fontId="18" fillId="5" borderId="11" xfId="25" applyFont="1" applyFill="1" applyBorder="1" applyAlignment="1">
      <alignment horizontal="center"/>
    </xf>
    <xf numFmtId="165" fontId="18" fillId="5" borderId="11" xfId="25" applyNumberFormat="1" applyFont="1" applyFill="1" applyBorder="1" applyAlignment="1">
      <alignment horizontal="center"/>
    </xf>
    <xf numFmtId="0" fontId="18" fillId="5" borderId="28" xfId="0" applyFont="1" applyFill="1" applyBorder="1" applyAlignment="1">
      <alignment horizontal="center"/>
    </xf>
    <xf numFmtId="2" fontId="18" fillId="5" borderId="28" xfId="25" applyNumberFormat="1" applyFont="1" applyFill="1" applyBorder="1" applyAlignment="1">
      <alignment horizontal="center"/>
    </xf>
    <xf numFmtId="2" fontId="18" fillId="5" borderId="11" xfId="25" applyNumberFormat="1" applyFont="1" applyFill="1" applyBorder="1" applyAlignment="1">
      <alignment horizontal="center"/>
    </xf>
    <xf numFmtId="0" fontId="18" fillId="5" borderId="27" xfId="0" applyFont="1" applyFill="1" applyBorder="1" applyAlignment="1">
      <alignment horizontal="center"/>
    </xf>
    <xf numFmtId="2" fontId="18" fillId="5" borderId="29" xfId="0" applyNumberFormat="1" applyFont="1" applyFill="1" applyBorder="1" applyAlignment="1">
      <alignment horizontal="center"/>
    </xf>
    <xf numFmtId="2" fontId="18" fillId="5" borderId="4" xfId="0" applyNumberFormat="1" applyFont="1" applyFill="1" applyBorder="1" applyAlignment="1">
      <alignment horizontal="center"/>
    </xf>
    <xf numFmtId="2" fontId="18" fillId="5" borderId="28" xfId="0" applyNumberFormat="1" applyFont="1" applyFill="1" applyBorder="1" applyAlignment="1">
      <alignment horizontal="center"/>
    </xf>
    <xf numFmtId="2" fontId="18" fillId="5" borderId="11" xfId="0" applyNumberFormat="1" applyFont="1" applyFill="1" applyBorder="1" applyAlignment="1">
      <alignment horizontal="center"/>
    </xf>
    <xf numFmtId="0" fontId="17" fillId="0" borderId="20" xfId="0" applyFont="1" applyBorder="1"/>
    <xf numFmtId="0" fontId="20" fillId="0" borderId="4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18" fillId="0" borderId="32" xfId="0" applyFont="1" applyBorder="1" applyAlignment="1">
      <alignment horizontal="center"/>
    </xf>
    <xf numFmtId="0" fontId="20" fillId="0" borderId="27" xfId="0" applyFont="1" applyBorder="1" applyAlignment="1">
      <alignment horizontal="center"/>
    </xf>
    <xf numFmtId="0" fontId="20" fillId="0" borderId="0" xfId="0" applyFont="1" applyAlignment="1">
      <alignment horizontal="left" indent="1"/>
    </xf>
    <xf numFmtId="0" fontId="20" fillId="0" borderId="0" xfId="0" applyFont="1"/>
    <xf numFmtId="10" fontId="18" fillId="0" borderId="0" xfId="25" applyNumberFormat="1" applyFont="1" applyBorder="1" applyAlignment="1">
      <alignment horizontal="center"/>
    </xf>
    <xf numFmtId="0" fontId="18" fillId="0" borderId="0" xfId="0" applyFont="1" applyAlignment="1">
      <alignment horizontal="left" indent="1"/>
    </xf>
    <xf numFmtId="167" fontId="18" fillId="0" borderId="0" xfId="0" applyNumberFormat="1" applyFont="1"/>
    <xf numFmtId="2" fontId="18" fillId="0" borderId="24" xfId="0" applyNumberFormat="1" applyFont="1" applyBorder="1"/>
    <xf numFmtId="2" fontId="18" fillId="0" borderId="28" xfId="0" applyNumberFormat="1" applyFont="1" applyBorder="1" applyAlignment="1">
      <alignment horizontal="center"/>
    </xf>
    <xf numFmtId="0" fontId="18" fillId="0" borderId="24" xfId="0" applyFont="1" applyBorder="1" applyAlignment="1">
      <alignment horizontal="center"/>
    </xf>
    <xf numFmtId="0" fontId="18" fillId="0" borderId="25" xfId="0" applyFont="1" applyBorder="1"/>
    <xf numFmtId="0" fontId="18" fillId="0" borderId="8" xfId="0" applyFont="1" applyBorder="1"/>
    <xf numFmtId="0" fontId="18" fillId="0" borderId="26" xfId="0" applyFont="1" applyBorder="1"/>
    <xf numFmtId="2" fontId="18" fillId="5" borderId="6" xfId="0" applyNumberFormat="1" applyFont="1" applyFill="1" applyBorder="1" applyAlignment="1">
      <alignment horizontal="center"/>
    </xf>
    <xf numFmtId="10" fontId="18" fillId="5" borderId="6" xfId="25" applyNumberFormat="1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9" fontId="18" fillId="5" borderId="6" xfId="0" applyNumberFormat="1" applyFont="1" applyFill="1" applyBorder="1" applyAlignment="1">
      <alignment horizontal="center"/>
    </xf>
    <xf numFmtId="0" fontId="18" fillId="0" borderId="1" xfId="0" applyFont="1" applyFill="1" applyBorder="1"/>
    <xf numFmtId="0" fontId="11" fillId="0" borderId="0" xfId="0" applyFont="1" applyBorder="1"/>
    <xf numFmtId="0" fontId="4" fillId="0" borderId="0" xfId="0" applyFont="1"/>
    <xf numFmtId="9" fontId="0" fillId="7" borderId="1" xfId="25" applyFont="1" applyFill="1" applyBorder="1" applyAlignment="1">
      <alignment horizontal="center"/>
    </xf>
    <xf numFmtId="166" fontId="18" fillId="0" borderId="4" xfId="0" applyNumberFormat="1" applyFont="1" applyBorder="1" applyAlignment="1">
      <alignment horizontal="center"/>
    </xf>
    <xf numFmtId="166" fontId="18" fillId="0" borderId="11" xfId="0" applyNumberFormat="1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18" fillId="0" borderId="30" xfId="0" applyFont="1" applyBorder="1" applyAlignment="1">
      <alignment horizontal="center"/>
    </xf>
    <xf numFmtId="0" fontId="18" fillId="0" borderId="19" xfId="0" applyFont="1" applyFill="1" applyBorder="1"/>
    <xf numFmtId="0" fontId="18" fillId="0" borderId="20" xfId="0" applyFont="1" applyFill="1" applyBorder="1"/>
    <xf numFmtId="0" fontId="18" fillId="0" borderId="21" xfId="0" applyFont="1" applyFill="1" applyBorder="1"/>
    <xf numFmtId="0" fontId="18" fillId="0" borderId="23" xfId="0" applyFont="1" applyFill="1" applyBorder="1"/>
    <xf numFmtId="0" fontId="18" fillId="0" borderId="0" xfId="0" applyFont="1" applyFill="1"/>
    <xf numFmtId="0" fontId="18" fillId="0" borderId="24" xfId="0" applyFont="1" applyFill="1" applyBorder="1"/>
    <xf numFmtId="0" fontId="18" fillId="0" borderId="1" xfId="0" applyFont="1" applyFill="1" applyBorder="1" applyAlignment="1">
      <alignment horizontal="center"/>
    </xf>
    <xf numFmtId="0" fontId="18" fillId="0" borderId="30" xfId="0" applyFont="1" applyFill="1" applyBorder="1" applyAlignment="1">
      <alignment horizontal="center"/>
    </xf>
    <xf numFmtId="2" fontId="18" fillId="0" borderId="27" xfId="0" applyNumberFormat="1" applyFont="1" applyFill="1" applyBorder="1" applyAlignment="1">
      <alignment horizontal="center"/>
    </xf>
    <xf numFmtId="2" fontId="18" fillId="0" borderId="6" xfId="0" applyNumberFormat="1" applyFont="1" applyFill="1" applyBorder="1" applyAlignment="1">
      <alignment horizontal="center"/>
    </xf>
    <xf numFmtId="2" fontId="18" fillId="0" borderId="0" xfId="0" applyNumberFormat="1" applyFont="1" applyFill="1"/>
    <xf numFmtId="2" fontId="18" fillId="0" borderId="28" xfId="0" applyNumberFormat="1" applyFont="1" applyFill="1" applyBorder="1" applyAlignment="1">
      <alignment horizontal="center"/>
    </xf>
    <xf numFmtId="2" fontId="18" fillId="0" borderId="11" xfId="0" applyNumberFormat="1" applyFont="1" applyFill="1" applyBorder="1" applyAlignment="1">
      <alignment horizontal="center"/>
    </xf>
    <xf numFmtId="0" fontId="19" fillId="0" borderId="0" xfId="0" applyFont="1" applyFill="1"/>
    <xf numFmtId="0" fontId="17" fillId="0" borderId="0" xfId="0" applyFont="1" applyFill="1" applyAlignment="1">
      <alignment horizontal="center"/>
    </xf>
    <xf numFmtId="0" fontId="18" fillId="0" borderId="29" xfId="0" applyFont="1" applyFill="1" applyBorder="1" applyAlignment="1">
      <alignment horizontal="center"/>
    </xf>
    <xf numFmtId="2" fontId="18" fillId="0" borderId="29" xfId="0" applyNumberFormat="1" applyFont="1" applyFill="1" applyBorder="1" applyAlignment="1">
      <alignment horizontal="center"/>
    </xf>
    <xf numFmtId="2" fontId="18" fillId="0" borderId="4" xfId="0" applyNumberFormat="1" applyFont="1" applyFill="1" applyBorder="1" applyAlignment="1">
      <alignment horizontal="center"/>
    </xf>
    <xf numFmtId="0" fontId="18" fillId="0" borderId="27" xfId="0" applyFont="1" applyFill="1" applyBorder="1" applyAlignment="1">
      <alignment horizontal="center"/>
    </xf>
    <xf numFmtId="0" fontId="18" fillId="0" borderId="6" xfId="0" applyFont="1" applyFill="1" applyBorder="1" applyAlignment="1">
      <alignment horizontal="center"/>
    </xf>
    <xf numFmtId="0" fontId="18" fillId="0" borderId="28" xfId="0" applyFont="1" applyFill="1" applyBorder="1" applyAlignment="1">
      <alignment horizontal="center"/>
    </xf>
    <xf numFmtId="165" fontId="18" fillId="0" borderId="28" xfId="25" applyNumberFormat="1" applyFont="1" applyFill="1" applyBorder="1" applyAlignment="1">
      <alignment horizontal="center"/>
    </xf>
    <xf numFmtId="165" fontId="18" fillId="0" borderId="11" xfId="25" applyNumberFormat="1" applyFont="1" applyFill="1" applyBorder="1" applyAlignment="1">
      <alignment horizontal="center"/>
    </xf>
    <xf numFmtId="0" fontId="17" fillId="0" borderId="1" xfId="0" applyFont="1" applyFill="1" applyBorder="1"/>
    <xf numFmtId="0" fontId="18" fillId="0" borderId="4" xfId="0" applyFont="1" applyFill="1" applyBorder="1" applyAlignment="1">
      <alignment horizontal="center"/>
    </xf>
    <xf numFmtId="0" fontId="18" fillId="0" borderId="27" xfId="0" applyFont="1" applyFill="1" applyBorder="1" applyAlignment="1">
      <alignment horizontal="center" wrapText="1"/>
    </xf>
    <xf numFmtId="9" fontId="18" fillId="0" borderId="27" xfId="25" applyFont="1" applyFill="1" applyBorder="1" applyAlignment="1">
      <alignment horizontal="center"/>
    </xf>
    <xf numFmtId="9" fontId="18" fillId="0" borderId="6" xfId="25" applyFont="1" applyFill="1" applyBorder="1" applyAlignment="1">
      <alignment horizontal="center"/>
    </xf>
    <xf numFmtId="0" fontId="18" fillId="0" borderId="27" xfId="0" applyFont="1" applyFill="1" applyBorder="1"/>
    <xf numFmtId="0" fontId="18" fillId="0" borderId="6" xfId="0" applyFont="1" applyFill="1" applyBorder="1"/>
    <xf numFmtId="9" fontId="18" fillId="0" borderId="0" xfId="0" applyNumberFormat="1" applyFont="1" applyFill="1" applyAlignment="1">
      <alignment horizontal="center"/>
    </xf>
    <xf numFmtId="9" fontId="18" fillId="0" borderId="6" xfId="0" applyNumberFormat="1" applyFont="1" applyFill="1" applyBorder="1" applyAlignment="1">
      <alignment horizontal="center"/>
    </xf>
    <xf numFmtId="9" fontId="18" fillId="0" borderId="5" xfId="0" applyNumberFormat="1" applyFont="1" applyFill="1" applyBorder="1" applyAlignment="1">
      <alignment horizontal="center"/>
    </xf>
    <xf numFmtId="9" fontId="18" fillId="0" borderId="6" xfId="0" applyNumberFormat="1" applyFont="1" applyFill="1" applyBorder="1" applyAlignment="1">
      <alignment horizontal="center"/>
    </xf>
    <xf numFmtId="2" fontId="18" fillId="0" borderId="28" xfId="25" applyNumberFormat="1" applyFont="1" applyFill="1" applyBorder="1" applyAlignment="1">
      <alignment horizontal="center"/>
    </xf>
    <xf numFmtId="2" fontId="18" fillId="0" borderId="11" xfId="25" applyNumberFormat="1" applyFont="1" applyFill="1" applyBorder="1" applyAlignment="1">
      <alignment horizontal="center"/>
    </xf>
    <xf numFmtId="0" fontId="18" fillId="0" borderId="0" xfId="0" applyFont="1" applyFill="1" applyAlignment="1">
      <alignment horizontal="center"/>
    </xf>
    <xf numFmtId="0" fontId="19" fillId="0" borderId="2" xfId="0" applyFont="1" applyFill="1" applyBorder="1" applyAlignment="1">
      <alignment horizontal="center"/>
    </xf>
    <xf numFmtId="0" fontId="19" fillId="0" borderId="4" xfId="0" applyFont="1" applyFill="1" applyBorder="1" applyAlignment="1">
      <alignment horizontal="center"/>
    </xf>
    <xf numFmtId="165" fontId="18" fillId="0" borderId="6" xfId="25" applyNumberFormat="1" applyFont="1" applyFill="1" applyBorder="1" applyAlignment="1">
      <alignment horizontal="center"/>
    </xf>
    <xf numFmtId="0" fontId="18" fillId="0" borderId="25" xfId="0" applyFont="1" applyFill="1" applyBorder="1"/>
    <xf numFmtId="0" fontId="18" fillId="0" borderId="8" xfId="0" applyFont="1" applyFill="1" applyBorder="1"/>
    <xf numFmtId="0" fontId="18" fillId="0" borderId="26" xfId="0" applyFont="1" applyFill="1" applyBorder="1"/>
    <xf numFmtId="166" fontId="0" fillId="0" borderId="24" xfId="0" applyNumberFormat="1" applyBorder="1" applyAlignment="1">
      <alignment horizontal="center"/>
    </xf>
    <xf numFmtId="0" fontId="0" fillId="0" borderId="36" xfId="0" applyBorder="1" applyAlignment="1">
      <alignment horizontal="center"/>
    </xf>
    <xf numFmtId="165" fontId="0" fillId="0" borderId="26" xfId="25" applyNumberFormat="1" applyFont="1" applyBorder="1" applyAlignment="1">
      <alignment horizontal="center"/>
    </xf>
    <xf numFmtId="0" fontId="18" fillId="0" borderId="0" xfId="0" applyFont="1" applyBorder="1"/>
    <xf numFmtId="0" fontId="18" fillId="0" borderId="0" xfId="0" applyFont="1" applyBorder="1" applyAlignment="1">
      <alignment horizontal="center"/>
    </xf>
    <xf numFmtId="2" fontId="18" fillId="0" borderId="0" xfId="0" applyNumberFormat="1" applyFont="1" applyBorder="1" applyAlignment="1">
      <alignment horizontal="center"/>
    </xf>
    <xf numFmtId="0" fontId="17" fillId="0" borderId="0" xfId="0" applyFont="1" applyBorder="1"/>
    <xf numFmtId="0" fontId="0" fillId="0" borderId="0" xfId="0" applyFill="1" applyBorder="1"/>
    <xf numFmtId="0" fontId="0" fillId="0" borderId="1" xfId="0" applyFill="1" applyBorder="1" applyAlignment="1">
      <alignment horizontal="center"/>
    </xf>
    <xf numFmtId="166" fontId="0" fillId="0" borderId="1" xfId="0" applyNumberFormat="1" applyFill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3" fontId="5" fillId="0" borderId="20" xfId="26" applyNumberFormat="1" applyBorder="1" applyAlignment="1">
      <alignment horizontal="right" vertical="center"/>
    </xf>
    <xf numFmtId="0" fontId="0" fillId="0" borderId="0" xfId="0" applyNumberFormat="1" applyBorder="1"/>
    <xf numFmtId="0" fontId="0" fillId="0" borderId="8" xfId="0" applyNumberFormat="1" applyBorder="1"/>
    <xf numFmtId="0" fontId="11" fillId="0" borderId="3" xfId="0" applyFont="1" applyBorder="1"/>
    <xf numFmtId="0" fontId="0" fillId="0" borderId="18" xfId="0" applyBorder="1" applyAlignment="1">
      <alignment horizontal="center"/>
    </xf>
    <xf numFmtId="0" fontId="0" fillId="0" borderId="22" xfId="0" applyBorder="1" applyAlignment="1">
      <alignment horizontal="center"/>
    </xf>
    <xf numFmtId="9" fontId="0" fillId="2" borderId="0" xfId="25" applyFont="1" applyFill="1" applyBorder="1" applyAlignment="1">
      <alignment horizontal="center"/>
    </xf>
    <xf numFmtId="0" fontId="6" fillId="0" borderId="0" xfId="0" applyFont="1" applyBorder="1" applyAlignment="1">
      <alignment horizontal="centerContinuous"/>
    </xf>
    <xf numFmtId="0" fontId="25" fillId="0" borderId="0" xfId="0" applyFont="1" applyBorder="1"/>
    <xf numFmtId="2" fontId="0" fillId="0" borderId="0" xfId="0" applyNumberFormat="1" applyBorder="1"/>
    <xf numFmtId="2" fontId="0" fillId="2" borderId="0" xfId="0" applyNumberFormat="1" applyFill="1" applyBorder="1"/>
    <xf numFmtId="0" fontId="6" fillId="0" borderId="24" xfId="0" applyFont="1" applyBorder="1" applyAlignment="1">
      <alignment horizontal="center"/>
    </xf>
    <xf numFmtId="2" fontId="0" fillId="0" borderId="13" xfId="0" applyNumberFormat="1" applyBorder="1" applyAlignment="1">
      <alignment horizontal="center"/>
    </xf>
  </cellXfs>
  <cellStyles count="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Normal" xfId="0" builtinId="0"/>
    <cellStyle name="Normal 2" xfId="26" xr:uid="{345D607F-7619-4F3F-B89C-15EBA88E79A9}"/>
    <cellStyle name="Percent" xfId="25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eetMetadata" Target="metadata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Variation analysis of the distribution  in relation to upper and lower targets</a:t>
            </a:r>
            <a:endParaRPr lang="en-UG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G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518-4CAC-8D9C-2C84CD3CE06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518-4CAC-8D9C-2C84CD3CE06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518-4CAC-8D9C-2C84CD3CE062}"/>
              </c:ext>
            </c:extLst>
          </c:dPt>
          <c:dLbls>
            <c:dLbl>
              <c:idx val="0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518-4CAC-8D9C-2C84CD3CE062}"/>
                </c:ext>
              </c:extLst>
            </c:dLbl>
            <c:dLbl>
              <c:idx val="1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518-4CAC-8D9C-2C84CD3CE062}"/>
                </c:ext>
              </c:extLst>
            </c:dLbl>
            <c:dLbl>
              <c:idx val="2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518-4CAC-8D9C-2C84CD3CE0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G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[2]Sheet1!$J$73:$J$75</c:f>
              <c:strCache>
                <c:ptCount val="3"/>
                <c:pt idx="0">
                  <c:v>P &lt; Xlower</c:v>
                </c:pt>
                <c:pt idx="1">
                  <c:v>P &gt; Xupper</c:v>
                </c:pt>
                <c:pt idx="2">
                  <c:v>P between</c:v>
                </c:pt>
              </c:strCache>
            </c:strRef>
          </c:cat>
          <c:val>
            <c:numRef>
              <c:f>[2]Sheet1!$K$73:$K$75</c:f>
              <c:numCache>
                <c:formatCode>0%</c:formatCode>
                <c:ptCount val="3"/>
                <c:pt idx="0">
                  <c:v>0.27771756256104901</c:v>
                </c:pt>
                <c:pt idx="1">
                  <c:v>0.41689623382613172</c:v>
                </c:pt>
                <c:pt idx="2">
                  <c:v>0.30538620361281926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518-4CAC-8D9C-2C84CD3CE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Variation</a:t>
            </a:r>
            <a:r>
              <a:rPr lang="en-US" baseline="0"/>
              <a:t> of upper and lower targets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[2]Sheet1!$AG$107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[2]Sheet1!$AF$108:$AF$117</c:f>
              <c:strCache>
                <c:ptCount val="10"/>
                <c:pt idx="0">
                  <c:v>10%</c:v>
                </c:pt>
                <c:pt idx="1">
                  <c:v>15%</c:v>
                </c:pt>
                <c:pt idx="2">
                  <c:v>20%</c:v>
                </c:pt>
                <c:pt idx="3">
                  <c:v>25%</c:v>
                </c:pt>
                <c:pt idx="4">
                  <c:v>30%</c:v>
                </c:pt>
                <c:pt idx="5">
                  <c:v>35%</c:v>
                </c:pt>
                <c:pt idx="6">
                  <c:v>40%</c:v>
                </c:pt>
                <c:pt idx="7">
                  <c:v>45%</c:v>
                </c:pt>
                <c:pt idx="8">
                  <c:v>50%</c:v>
                </c:pt>
                <c:pt idx="9">
                  <c:v>More</c:v>
                </c:pt>
              </c:strCache>
            </c:strRef>
          </c:cat>
          <c:val>
            <c:numRef>
              <c:f>[2]Sheet1!$AG$108:$AG$117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9</c:v>
                </c:pt>
                <c:pt idx="4">
                  <c:v>9</c:v>
                </c:pt>
                <c:pt idx="5">
                  <c:v>10</c:v>
                </c:pt>
                <c:pt idx="6">
                  <c:v>7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DF-427D-8DCE-AB2377CEA3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9073728"/>
        <c:axId val="689070400"/>
      </c:barChart>
      <c:catAx>
        <c:axId val="689073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Probabilty</a:t>
                </a:r>
                <a:r>
                  <a:rPr lang="en-US" baseline="0"/>
                  <a:t> of Targets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689070400"/>
        <c:crosses val="autoZero"/>
        <c:auto val="1"/>
        <c:lblAlgn val="ctr"/>
        <c:lblOffset val="100"/>
        <c:noMultiLvlLbl val="0"/>
      </c:catAx>
      <c:valAx>
        <c:axId val="68907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Frequecncy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68907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Growth</a:t>
            </a:r>
            <a:r>
              <a:rPr lang="en-US" baseline="0"/>
              <a:t> of software developers employers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'Analysis results'!$B$4</c:f>
              <c:strCache>
                <c:ptCount val="1"/>
                <c:pt idx="0">
                  <c:v>year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'Analysis results'!$B$6:$B$23</c15:sqref>
                  </c15:fullRef>
                </c:ext>
              </c:extLst>
              <c:f>'Analysis results'!$B$7:$B$23</c:f>
              <c:numCache>
                <c:formatCode>General</c:formatCode>
                <c:ptCount val="17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'Analysis results'!$B$5:$B$23</c15:sqref>
                  </c15:fullRef>
                </c:ext>
              </c:extLst>
              <c:f>'Analysis results'!$B$6:$B$23</c:f>
              <c:numCache>
                <c:formatCode>General</c:formatCode>
                <c:ptCount val="18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F7-4566-992D-B35339D98348}"/>
            </c:ext>
          </c:extLst>
        </c:ser>
        <c:ser>
          <c:idx val="3"/>
          <c:order val="3"/>
          <c:tx>
            <c:strRef>
              <c:f>'Analysis results'!$E$4</c:f>
              <c:strCache>
                <c:ptCount val="1"/>
                <c:pt idx="0">
                  <c:v>Software developers employed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'Analysis results'!$B$6:$B$23</c15:sqref>
                  </c15:fullRef>
                </c:ext>
              </c:extLst>
              <c:f>'Analysis results'!$B$7:$B$23</c:f>
              <c:numCache>
                <c:formatCode>General</c:formatCode>
                <c:ptCount val="17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'Analysis results'!$E$5:$E$23</c15:sqref>
                  </c15:fullRef>
                </c:ext>
              </c:extLst>
              <c:f>'Analysis results'!$E$6:$E$23</c:f>
              <c:numCache>
                <c:formatCode>General</c:formatCode>
                <c:ptCount val="18"/>
                <c:pt idx="0">
                  <c:v>1008460</c:v>
                </c:pt>
                <c:pt idx="1">
                  <c:v>1012140</c:v>
                </c:pt>
                <c:pt idx="2">
                  <c:v>1056452</c:v>
                </c:pt>
                <c:pt idx="3">
                  <c:v>1096450</c:v>
                </c:pt>
                <c:pt idx="4">
                  <c:v>1120460</c:v>
                </c:pt>
                <c:pt idx="5">
                  <c:v>1180450</c:v>
                </c:pt>
                <c:pt idx="6">
                  <c:v>1210560</c:v>
                </c:pt>
                <c:pt idx="7">
                  <c:v>1265450</c:v>
                </c:pt>
                <c:pt idx="8">
                  <c:v>1397780</c:v>
                </c:pt>
                <c:pt idx="9">
                  <c:v>1410000</c:v>
                </c:pt>
                <c:pt idx="10">
                  <c:v>1492040</c:v>
                </c:pt>
                <c:pt idx="11">
                  <c:v>1525000</c:v>
                </c:pt>
                <c:pt idx="12">
                  <c:v>1604570</c:v>
                </c:pt>
                <c:pt idx="13">
                  <c:v>1666270</c:v>
                </c:pt>
                <c:pt idx="14">
                  <c:v>1750440</c:v>
                </c:pt>
                <c:pt idx="15">
                  <c:v>1811160</c:v>
                </c:pt>
                <c:pt idx="16">
                  <c:v>1851006</c:v>
                </c:pt>
                <c:pt idx="17">
                  <c:v>1890851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F7-4566-992D-B35339D98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7946048"/>
        <c:axId val="1040373664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'Analysis results'!$C$4</c15:sqref>
                        </c15:formulaRef>
                      </c:ext>
                    </c:extLst>
                    <c:strCache>
                      <c:ptCount val="1"/>
                      <c:pt idx="0">
                        <c:v>average salary of a software engineer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'Analysis results'!$B$6:$B$23</c15:sqref>
                        </c15:fullRef>
                        <c15:formulaRef>
                          <c15:sqref>'Analysis results'!$B$7:$B$23</c15:sqref>
                        </c15:formulaRef>
                      </c:ext>
                    </c:extLst>
                    <c:numCache>
                      <c:formatCode>General</c:formatCode>
                      <c:ptCount val="17"/>
                      <c:pt idx="0">
                        <c:v>2005</c:v>
                      </c:pt>
                      <c:pt idx="1">
                        <c:v>2006</c:v>
                      </c:pt>
                      <c:pt idx="2">
                        <c:v>2007</c:v>
                      </c:pt>
                      <c:pt idx="3">
                        <c:v>2008</c:v>
                      </c:pt>
                      <c:pt idx="4">
                        <c:v>2009</c:v>
                      </c:pt>
                      <c:pt idx="5">
                        <c:v>2010</c:v>
                      </c:pt>
                      <c:pt idx="6">
                        <c:v>2011</c:v>
                      </c:pt>
                      <c:pt idx="7">
                        <c:v>2012</c:v>
                      </c:pt>
                      <c:pt idx="8">
                        <c:v>2013</c:v>
                      </c:pt>
                      <c:pt idx="9">
                        <c:v>2014</c:v>
                      </c:pt>
                      <c:pt idx="10">
                        <c:v>2015</c:v>
                      </c:pt>
                      <c:pt idx="11">
                        <c:v>2016</c:v>
                      </c:pt>
                      <c:pt idx="12">
                        <c:v>2017</c:v>
                      </c:pt>
                      <c:pt idx="13">
                        <c:v>2018</c:v>
                      </c:pt>
                      <c:pt idx="14">
                        <c:v>2019</c:v>
                      </c:pt>
                      <c:pt idx="15">
                        <c:v>2020</c:v>
                      </c:pt>
                      <c:pt idx="16">
                        <c:v>2021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'Analysis results'!$C$5:$C$23</c15:sqref>
                        </c15:fullRef>
                        <c15:formulaRef>
                          <c15:sqref>'Analysis results'!$C$6:$C$23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0">
                        <c:v>61350</c:v>
                      </c:pt>
                      <c:pt idx="1">
                        <c:v>61400</c:v>
                      </c:pt>
                      <c:pt idx="2">
                        <c:v>61390</c:v>
                      </c:pt>
                      <c:pt idx="3">
                        <c:v>61480</c:v>
                      </c:pt>
                      <c:pt idx="4">
                        <c:v>61520</c:v>
                      </c:pt>
                      <c:pt idx="5">
                        <c:v>61500</c:v>
                      </c:pt>
                      <c:pt idx="6">
                        <c:v>61550</c:v>
                      </c:pt>
                      <c:pt idx="7">
                        <c:v>61590</c:v>
                      </c:pt>
                      <c:pt idx="8">
                        <c:v>61600</c:v>
                      </c:pt>
                      <c:pt idx="9">
                        <c:v>61650</c:v>
                      </c:pt>
                      <c:pt idx="10">
                        <c:v>61700</c:v>
                      </c:pt>
                      <c:pt idx="11">
                        <c:v>61700</c:v>
                      </c:pt>
                      <c:pt idx="12">
                        <c:v>61800</c:v>
                      </c:pt>
                      <c:pt idx="13">
                        <c:v>61820</c:v>
                      </c:pt>
                      <c:pt idx="14">
                        <c:v>62000</c:v>
                      </c:pt>
                      <c:pt idx="15">
                        <c:v>63400</c:v>
                      </c:pt>
                      <c:pt idx="16">
                        <c:v>64600</c:v>
                      </c:pt>
                      <c:pt idx="17">
                        <c:v>70000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E6F7-4566-992D-B35339D98348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'Analysis results'!$D$4</c15:sqref>
                        </c15:formulaRef>
                      </c:ext>
                    </c:extLst>
                    <c:strCache>
                      <c:ptCount val="1"/>
                      <c:pt idx="0">
                        <c:v>marketshare of software profits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'Analysis results'!$B$6:$B$23</c15:sqref>
                        </c15:fullRef>
                        <c15:formulaRef>
                          <c15:sqref>'Analysis results'!$B$7:$B$23</c15:sqref>
                        </c15:formulaRef>
                      </c:ext>
                    </c:extLst>
                    <c:numCache>
                      <c:formatCode>General</c:formatCode>
                      <c:ptCount val="17"/>
                      <c:pt idx="0">
                        <c:v>2005</c:v>
                      </c:pt>
                      <c:pt idx="1">
                        <c:v>2006</c:v>
                      </c:pt>
                      <c:pt idx="2">
                        <c:v>2007</c:v>
                      </c:pt>
                      <c:pt idx="3">
                        <c:v>2008</c:v>
                      </c:pt>
                      <c:pt idx="4">
                        <c:v>2009</c:v>
                      </c:pt>
                      <c:pt idx="5">
                        <c:v>2010</c:v>
                      </c:pt>
                      <c:pt idx="6">
                        <c:v>2011</c:v>
                      </c:pt>
                      <c:pt idx="7">
                        <c:v>2012</c:v>
                      </c:pt>
                      <c:pt idx="8">
                        <c:v>2013</c:v>
                      </c:pt>
                      <c:pt idx="9">
                        <c:v>2014</c:v>
                      </c:pt>
                      <c:pt idx="10">
                        <c:v>2015</c:v>
                      </c:pt>
                      <c:pt idx="11">
                        <c:v>2016</c:v>
                      </c:pt>
                      <c:pt idx="12">
                        <c:v>2017</c:v>
                      </c:pt>
                      <c:pt idx="13">
                        <c:v>2018</c:v>
                      </c:pt>
                      <c:pt idx="14">
                        <c:v>2019</c:v>
                      </c:pt>
                      <c:pt idx="15">
                        <c:v>2020</c:v>
                      </c:pt>
                      <c:pt idx="16">
                        <c:v>2021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'Analysis results'!$D$5:$D$23</c15:sqref>
                        </c15:fullRef>
                        <c15:formulaRef>
                          <c15:sqref>'Analysis results'!$D$6:$D$23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0">
                        <c:v>182.5</c:v>
                      </c:pt>
                      <c:pt idx="1">
                        <c:v>188</c:v>
                      </c:pt>
                      <c:pt idx="2">
                        <c:v>190</c:v>
                      </c:pt>
                      <c:pt idx="3">
                        <c:v>190.5</c:v>
                      </c:pt>
                      <c:pt idx="4">
                        <c:v>220.4</c:v>
                      </c:pt>
                      <c:pt idx="5" formatCode="#,##0.00">
                        <c:v>225.51</c:v>
                      </c:pt>
                      <c:pt idx="6" formatCode="#,##0.00">
                        <c:v>244.64</c:v>
                      </c:pt>
                      <c:pt idx="7" formatCode="#,##0">
                        <c:v>269</c:v>
                      </c:pt>
                      <c:pt idx="8" formatCode="#,##0">
                        <c:v>285</c:v>
                      </c:pt>
                      <c:pt idx="9" formatCode="#,##0">
                        <c:v>297</c:v>
                      </c:pt>
                      <c:pt idx="10" formatCode="#,##0">
                        <c:v>310</c:v>
                      </c:pt>
                      <c:pt idx="11" formatCode="#,##0">
                        <c:v>310</c:v>
                      </c:pt>
                      <c:pt idx="12" formatCode="#,##0">
                        <c:v>326</c:v>
                      </c:pt>
                      <c:pt idx="13" formatCode="#,##0">
                        <c:v>369</c:v>
                      </c:pt>
                      <c:pt idx="14" formatCode="#,##0">
                        <c:v>419</c:v>
                      </c:pt>
                      <c:pt idx="15" formatCode="#,##0">
                        <c:v>477</c:v>
                      </c:pt>
                      <c:pt idx="16" formatCode="#,##0">
                        <c:v>529</c:v>
                      </c:pt>
                      <c:pt idx="17" formatCode="#,##0">
                        <c:v>615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E6F7-4566-992D-B35339D98348}"/>
                  </c:ext>
                </c:extLst>
              </c15:ser>
            </c15:filteredBarSeries>
          </c:ext>
        </c:extLst>
      </c:barChart>
      <c:catAx>
        <c:axId val="517946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1040373664"/>
        <c:crosses val="autoZero"/>
        <c:auto val="1"/>
        <c:lblAlgn val="ctr"/>
        <c:lblOffset val="100"/>
        <c:noMultiLvlLbl val="0"/>
      </c:catAx>
      <c:valAx>
        <c:axId val="10403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Software</a:t>
                </a:r>
                <a:r>
                  <a:rPr lang="en-US" baseline="0"/>
                  <a:t> developers employed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51794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frequency</a:t>
            </a:r>
            <a:r>
              <a:rPr lang="en-US" baseline="0"/>
              <a:t> of Marketshare Profit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title>
    <c:autoTitleDeleted val="0"/>
    <c:plotArea>
      <c:layout>
        <c:manualLayout>
          <c:layoutTarget val="inner"/>
          <c:xMode val="edge"/>
          <c:yMode val="edge"/>
          <c:x val="5.3833885297901431E-2"/>
          <c:y val="2.556319281364797E-2"/>
          <c:w val="0.909558640327781"/>
          <c:h val="0.7246427639544873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'Analysis results'!$B$6:$B$23</c:f>
              <c:numCache>
                <c:formatCode>General</c:formatCode>
                <c:ptCount val="18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</c:numCache>
            </c:numRef>
          </c:cat>
          <c:val>
            <c:numRef>
              <c:f>[2]Sheet1!$W$69:$W$91</c:f>
              <c:numCache>
                <c:formatCode>General</c:formatCode>
                <c:ptCount val="23"/>
                <c:pt idx="0">
                  <c:v>180</c:v>
                </c:pt>
                <c:pt idx="1">
                  <c:v>200</c:v>
                </c:pt>
                <c:pt idx="2">
                  <c:v>220</c:v>
                </c:pt>
                <c:pt idx="3">
                  <c:v>240</c:v>
                </c:pt>
                <c:pt idx="4">
                  <c:v>260</c:v>
                </c:pt>
                <c:pt idx="5">
                  <c:v>280</c:v>
                </c:pt>
                <c:pt idx="6">
                  <c:v>300</c:v>
                </c:pt>
                <c:pt idx="7">
                  <c:v>320</c:v>
                </c:pt>
                <c:pt idx="8">
                  <c:v>340</c:v>
                </c:pt>
                <c:pt idx="9">
                  <c:v>360</c:v>
                </c:pt>
                <c:pt idx="10">
                  <c:v>380</c:v>
                </c:pt>
                <c:pt idx="11">
                  <c:v>400</c:v>
                </c:pt>
                <c:pt idx="12">
                  <c:v>420</c:v>
                </c:pt>
                <c:pt idx="13">
                  <c:v>440</c:v>
                </c:pt>
                <c:pt idx="14">
                  <c:v>460</c:v>
                </c:pt>
                <c:pt idx="15">
                  <c:v>480</c:v>
                </c:pt>
                <c:pt idx="16">
                  <c:v>500</c:v>
                </c:pt>
                <c:pt idx="17">
                  <c:v>520</c:v>
                </c:pt>
                <c:pt idx="18">
                  <c:v>540</c:v>
                </c:pt>
                <c:pt idx="19">
                  <c:v>560</c:v>
                </c:pt>
                <c:pt idx="20">
                  <c:v>580</c:v>
                </c:pt>
                <c:pt idx="21">
                  <c:v>600</c:v>
                </c:pt>
                <c:pt idx="22">
                  <c:v>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A2-4D1C-BD15-5D98EC0D6B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359536"/>
        <c:axId val="52035662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'Analysis results'!$B$6:$B$23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0">
                        <c:v>2004</c:v>
                      </c:pt>
                      <c:pt idx="1">
                        <c:v>2005</c:v>
                      </c:pt>
                      <c:pt idx="2">
                        <c:v>2006</c:v>
                      </c:pt>
                      <c:pt idx="3">
                        <c:v>2007</c:v>
                      </c:pt>
                      <c:pt idx="4">
                        <c:v>2008</c:v>
                      </c:pt>
                      <c:pt idx="5">
                        <c:v>2009</c:v>
                      </c:pt>
                      <c:pt idx="6">
                        <c:v>2010</c:v>
                      </c:pt>
                      <c:pt idx="7">
                        <c:v>2011</c:v>
                      </c:pt>
                      <c:pt idx="8">
                        <c:v>2012</c:v>
                      </c:pt>
                      <c:pt idx="9">
                        <c:v>2013</c:v>
                      </c:pt>
                      <c:pt idx="10">
                        <c:v>2014</c:v>
                      </c:pt>
                      <c:pt idx="11">
                        <c:v>2015</c:v>
                      </c:pt>
                      <c:pt idx="12">
                        <c:v>2016</c:v>
                      </c:pt>
                      <c:pt idx="13">
                        <c:v>2017</c:v>
                      </c:pt>
                      <c:pt idx="14">
                        <c:v>2018</c:v>
                      </c:pt>
                      <c:pt idx="15">
                        <c:v>2019</c:v>
                      </c:pt>
                      <c:pt idx="16">
                        <c:v>2020</c:v>
                      </c:pt>
                      <c:pt idx="17">
                        <c:v>2021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[2]Sheet1!$X$69:$X$91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</c:v>
                      </c:pt>
                      <c:pt idx="1">
                        <c:v>4</c:v>
                      </c:pt>
                      <c:pt idx="2">
                        <c:v>4</c:v>
                      </c:pt>
                      <c:pt idx="3">
                        <c:v>6</c:v>
                      </c:pt>
                      <c:pt idx="4">
                        <c:v>7</c:v>
                      </c:pt>
                      <c:pt idx="5">
                        <c:v>8</c:v>
                      </c:pt>
                      <c:pt idx="6">
                        <c:v>10</c:v>
                      </c:pt>
                      <c:pt idx="7">
                        <c:v>12</c:v>
                      </c:pt>
                      <c:pt idx="8">
                        <c:v>13</c:v>
                      </c:pt>
                      <c:pt idx="9">
                        <c:v>13</c:v>
                      </c:pt>
                      <c:pt idx="10">
                        <c:v>14</c:v>
                      </c:pt>
                      <c:pt idx="11">
                        <c:v>14</c:v>
                      </c:pt>
                      <c:pt idx="12">
                        <c:v>15</c:v>
                      </c:pt>
                      <c:pt idx="13">
                        <c:v>15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16</c:v>
                      </c:pt>
                      <c:pt idx="17">
                        <c:v>16</c:v>
                      </c:pt>
                      <c:pt idx="18">
                        <c:v>17</c:v>
                      </c:pt>
                      <c:pt idx="19">
                        <c:v>17</c:v>
                      </c:pt>
                      <c:pt idx="20">
                        <c:v>17</c:v>
                      </c:pt>
                      <c:pt idx="21">
                        <c:v>17</c:v>
                      </c:pt>
                      <c:pt idx="22">
                        <c:v>18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7A2-4D1C-BD15-5D98EC0D6B00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'Analysis results'!$B$6:$B$22</c15:sqref>
                        </c15:formulaRef>
                      </c:ext>
                    </c:extLst>
                    <c:strCache>
                      <c:ptCount val="17"/>
                      <c:pt idx="0">
                        <c:v>2004</c:v>
                      </c:pt>
                      <c:pt idx="1">
                        <c:v>2005</c:v>
                      </c:pt>
                      <c:pt idx="2">
                        <c:v>2006</c:v>
                      </c:pt>
                      <c:pt idx="3">
                        <c:v>2007</c:v>
                      </c:pt>
                      <c:pt idx="4">
                        <c:v>2008</c:v>
                      </c:pt>
                      <c:pt idx="5">
                        <c:v>2009</c:v>
                      </c:pt>
                      <c:pt idx="6">
                        <c:v>2010</c:v>
                      </c:pt>
                      <c:pt idx="7">
                        <c:v>2011</c:v>
                      </c:pt>
                      <c:pt idx="8">
                        <c:v>2012</c:v>
                      </c:pt>
                      <c:pt idx="9">
                        <c:v>2013</c:v>
                      </c:pt>
                      <c:pt idx="10">
                        <c:v>2014</c:v>
                      </c:pt>
                      <c:pt idx="11">
                        <c:v>2015</c:v>
                      </c:pt>
                      <c:pt idx="12">
                        <c:v>2016</c:v>
                      </c:pt>
                      <c:pt idx="13">
                        <c:v>2017</c:v>
                      </c:pt>
                      <c:pt idx="14">
                        <c:v>2018</c:v>
                      </c:pt>
                      <c:pt idx="15">
                        <c:v>2019</c:v>
                      </c:pt>
                      <c:pt idx="16">
                        <c:v>2020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'Analysis results'!$B$6:$B$23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0">
                        <c:v>2004</c:v>
                      </c:pt>
                      <c:pt idx="1">
                        <c:v>2005</c:v>
                      </c:pt>
                      <c:pt idx="2">
                        <c:v>2006</c:v>
                      </c:pt>
                      <c:pt idx="3">
                        <c:v>2007</c:v>
                      </c:pt>
                      <c:pt idx="4">
                        <c:v>2008</c:v>
                      </c:pt>
                      <c:pt idx="5">
                        <c:v>2009</c:v>
                      </c:pt>
                      <c:pt idx="6">
                        <c:v>2010</c:v>
                      </c:pt>
                      <c:pt idx="7">
                        <c:v>2011</c:v>
                      </c:pt>
                      <c:pt idx="8">
                        <c:v>2012</c:v>
                      </c:pt>
                      <c:pt idx="9">
                        <c:v>2013</c:v>
                      </c:pt>
                      <c:pt idx="10">
                        <c:v>2014</c:v>
                      </c:pt>
                      <c:pt idx="11">
                        <c:v>2015</c:v>
                      </c:pt>
                      <c:pt idx="12">
                        <c:v>2016</c:v>
                      </c:pt>
                      <c:pt idx="13">
                        <c:v>2017</c:v>
                      </c:pt>
                      <c:pt idx="14">
                        <c:v>2018</c:v>
                      </c:pt>
                      <c:pt idx="15">
                        <c:v>2019</c:v>
                      </c:pt>
                      <c:pt idx="16">
                        <c:v>2020</c:v>
                      </c:pt>
                      <c:pt idx="17">
                        <c:v>2021</c:v>
                      </c:pt>
                    </c:numCache>
                  </c:numRef>
                </c:cat>
                <c: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3-B7A2-4D1C-BD15-5D98EC0D6B00}"/>
                  </c:ext>
                </c:extLst>
              </c15:ser>
            </c15:filteredLineSeries>
          </c:ext>
        </c:extLst>
      </c:lineChart>
      <c:catAx>
        <c:axId val="520359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520356624"/>
        <c:crosses val="autoZero"/>
        <c:auto val="1"/>
        <c:lblAlgn val="ctr"/>
        <c:lblOffset val="100"/>
        <c:noMultiLvlLbl val="0"/>
      </c:catAx>
      <c:valAx>
        <c:axId val="52035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Marketshare</a:t>
                </a:r>
                <a:r>
                  <a:rPr lang="en-US" baseline="0"/>
                  <a:t> Profit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520359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 of  Marketshare</a:t>
            </a:r>
            <a:r>
              <a:rPr lang="en-US" baseline="0"/>
              <a:t> Profit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'Analysis results'!$H$38:$H$61</c:f>
              <c:strCache>
                <c:ptCount val="24"/>
                <c:pt idx="0">
                  <c:v>180</c:v>
                </c:pt>
                <c:pt idx="1">
                  <c:v>200</c:v>
                </c:pt>
                <c:pt idx="2">
                  <c:v>220</c:v>
                </c:pt>
                <c:pt idx="3">
                  <c:v>240</c:v>
                </c:pt>
                <c:pt idx="4">
                  <c:v>260</c:v>
                </c:pt>
                <c:pt idx="5">
                  <c:v>280</c:v>
                </c:pt>
                <c:pt idx="6">
                  <c:v>300</c:v>
                </c:pt>
                <c:pt idx="7">
                  <c:v>320</c:v>
                </c:pt>
                <c:pt idx="8">
                  <c:v>340</c:v>
                </c:pt>
                <c:pt idx="9">
                  <c:v>360</c:v>
                </c:pt>
                <c:pt idx="10">
                  <c:v>380</c:v>
                </c:pt>
                <c:pt idx="11">
                  <c:v>400</c:v>
                </c:pt>
                <c:pt idx="12">
                  <c:v>420</c:v>
                </c:pt>
                <c:pt idx="13">
                  <c:v>440</c:v>
                </c:pt>
                <c:pt idx="14">
                  <c:v>460</c:v>
                </c:pt>
                <c:pt idx="15">
                  <c:v>480</c:v>
                </c:pt>
                <c:pt idx="16">
                  <c:v>500</c:v>
                </c:pt>
                <c:pt idx="17">
                  <c:v>520</c:v>
                </c:pt>
                <c:pt idx="18">
                  <c:v>540</c:v>
                </c:pt>
                <c:pt idx="19">
                  <c:v>560</c:v>
                </c:pt>
                <c:pt idx="20">
                  <c:v>580</c:v>
                </c:pt>
                <c:pt idx="21">
                  <c:v>600</c:v>
                </c:pt>
                <c:pt idx="22">
                  <c:v>620</c:v>
                </c:pt>
                <c:pt idx="23">
                  <c:v>More</c:v>
                </c:pt>
              </c:strCache>
            </c:strRef>
          </c:cat>
          <c:val>
            <c:numRef>
              <c:f>'Analysis results'!$I$38:$I$61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0-4734-A547-346040D43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1185232"/>
        <c:axId val="1391189392"/>
      </c:barChart>
      <c:catAx>
        <c:axId val="1391185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Marketshare</a:t>
                </a:r>
                <a:r>
                  <a:rPr lang="en-US" baseline="0"/>
                  <a:t> profit value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1391189392"/>
        <c:crosses val="autoZero"/>
        <c:auto val="1"/>
        <c:lblAlgn val="ctr"/>
        <c:lblOffset val="100"/>
        <c:noMultiLvlLbl val="0"/>
      </c:catAx>
      <c:valAx>
        <c:axId val="139118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139118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 of software</a:t>
            </a:r>
            <a:r>
              <a:rPr lang="en-US" baseline="0"/>
              <a:t> developer salaries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'Analysis results'!$D$39:$D$52</c:f>
              <c:strCache>
                <c:ptCount val="14"/>
                <c:pt idx="0">
                  <c:v>61300</c:v>
                </c:pt>
                <c:pt idx="1">
                  <c:v>62086</c:v>
                </c:pt>
                <c:pt idx="2">
                  <c:v>62872</c:v>
                </c:pt>
                <c:pt idx="3">
                  <c:v>63658</c:v>
                </c:pt>
                <c:pt idx="4">
                  <c:v>64444</c:v>
                </c:pt>
                <c:pt idx="5">
                  <c:v>65230</c:v>
                </c:pt>
                <c:pt idx="6">
                  <c:v>66016</c:v>
                </c:pt>
                <c:pt idx="7">
                  <c:v>66802</c:v>
                </c:pt>
                <c:pt idx="8">
                  <c:v>67588</c:v>
                </c:pt>
                <c:pt idx="9">
                  <c:v>68374</c:v>
                </c:pt>
                <c:pt idx="10">
                  <c:v>69160</c:v>
                </c:pt>
                <c:pt idx="11">
                  <c:v>69946</c:v>
                </c:pt>
                <c:pt idx="12">
                  <c:v>70732</c:v>
                </c:pt>
                <c:pt idx="13">
                  <c:v>More</c:v>
                </c:pt>
              </c:strCache>
            </c:strRef>
          </c:cat>
          <c:val>
            <c:numRef>
              <c:f>'Analysis results'!$E$39:$E$52</c:f>
              <c:numCache>
                <c:formatCode>General</c:formatCode>
                <c:ptCount val="1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13-4DD7-95EE-EA8945763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65058448"/>
        <c:axId val="1465059696"/>
      </c:barChart>
      <c:catAx>
        <c:axId val="14650584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Salariies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1465059696"/>
        <c:crosses val="autoZero"/>
        <c:auto val="1"/>
        <c:lblAlgn val="ctr"/>
        <c:lblOffset val="100"/>
        <c:noMultiLvlLbl val="0"/>
      </c:catAx>
      <c:valAx>
        <c:axId val="1465059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146505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MarketShare</a:t>
            </a:r>
            <a:r>
              <a:rPr lang="en-US" baseline="0"/>
              <a:t> Profit value(Billions)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'Simulation results'!$F$12:$F$21</c:f>
              <c:numCache>
                <c:formatCode>General</c:formatCode>
                <c:ptCount val="10"/>
                <c:pt idx="0">
                  <c:v>104</c:v>
                </c:pt>
                <c:pt idx="1">
                  <c:v>160</c:v>
                </c:pt>
                <c:pt idx="2">
                  <c:v>216</c:v>
                </c:pt>
                <c:pt idx="3">
                  <c:v>272</c:v>
                </c:pt>
                <c:pt idx="4">
                  <c:v>328</c:v>
                </c:pt>
                <c:pt idx="5">
                  <c:v>384</c:v>
                </c:pt>
                <c:pt idx="6">
                  <c:v>440</c:v>
                </c:pt>
                <c:pt idx="7">
                  <c:v>496</c:v>
                </c:pt>
                <c:pt idx="8">
                  <c:v>552</c:v>
                </c:pt>
                <c:pt idx="9">
                  <c:v>608</c:v>
                </c:pt>
              </c:numCache>
            </c:numRef>
          </c:cat>
          <c:val>
            <c:numRef>
              <c:f>'Simulation results'!$H$12:$H$21</c:f>
              <c:numCache>
                <c:formatCode>General</c:formatCode>
                <c:ptCount val="10"/>
                <c:pt idx="0">
                  <c:v>2</c:v>
                </c:pt>
                <c:pt idx="1">
                  <c:v>15</c:v>
                </c:pt>
                <c:pt idx="2">
                  <c:v>18</c:v>
                </c:pt>
                <c:pt idx="3">
                  <c:v>27</c:v>
                </c:pt>
                <c:pt idx="4">
                  <c:v>17</c:v>
                </c:pt>
                <c:pt idx="5">
                  <c:v>7</c:v>
                </c:pt>
                <c:pt idx="6">
                  <c:v>5</c:v>
                </c:pt>
                <c:pt idx="7">
                  <c:v>6</c:v>
                </c:pt>
                <c:pt idx="8">
                  <c:v>2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7F-4E41-A3D8-3FF0EFE1F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80746096"/>
        <c:axId val="380752336"/>
      </c:barChart>
      <c:catAx>
        <c:axId val="380746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/>
                  <a:t>Marketshare Profit</a:t>
                </a:r>
                <a:r>
                  <a:rPr lang="en-US" baseline="0"/>
                  <a:t> value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80752336"/>
        <c:crosses val="autoZero"/>
        <c:auto val="1"/>
        <c:lblAlgn val="ctr"/>
        <c:lblOffset val="100"/>
        <c:noMultiLvlLbl val="0"/>
      </c:catAx>
      <c:valAx>
        <c:axId val="3807523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38074609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Marketshare</a:t>
            </a:r>
            <a:r>
              <a:rPr lang="en-US" baseline="0"/>
              <a:t> Profit value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'Simulation results'!$G$34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'Simulation results'!$F$35:$F$47</c:f>
              <c:strCache>
                <c:ptCount val="13"/>
                <c:pt idx="0">
                  <c:v>74</c:v>
                </c:pt>
                <c:pt idx="1">
                  <c:v>130</c:v>
                </c:pt>
                <c:pt idx="2">
                  <c:v>186</c:v>
                </c:pt>
                <c:pt idx="3">
                  <c:v>242</c:v>
                </c:pt>
                <c:pt idx="4">
                  <c:v>298</c:v>
                </c:pt>
                <c:pt idx="5">
                  <c:v>354</c:v>
                </c:pt>
                <c:pt idx="6">
                  <c:v>410</c:v>
                </c:pt>
                <c:pt idx="7">
                  <c:v>466</c:v>
                </c:pt>
                <c:pt idx="8">
                  <c:v>522</c:v>
                </c:pt>
                <c:pt idx="9">
                  <c:v>578</c:v>
                </c:pt>
                <c:pt idx="10">
                  <c:v>634</c:v>
                </c:pt>
                <c:pt idx="11">
                  <c:v>690</c:v>
                </c:pt>
                <c:pt idx="12">
                  <c:v>More</c:v>
                </c:pt>
              </c:strCache>
            </c:strRef>
          </c:cat>
          <c:val>
            <c:numRef>
              <c:f>'Simulation results'!$G$35:$G$47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16</c:v>
                </c:pt>
                <c:pt idx="3">
                  <c:v>18</c:v>
                </c:pt>
                <c:pt idx="4">
                  <c:v>27</c:v>
                </c:pt>
                <c:pt idx="5">
                  <c:v>16</c:v>
                </c:pt>
                <c:pt idx="6">
                  <c:v>8</c:v>
                </c:pt>
                <c:pt idx="7">
                  <c:v>5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BF-4171-A889-8B5CB2A2F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725216"/>
        <c:axId val="1085724800"/>
      </c:barChart>
      <c:catAx>
        <c:axId val="1085725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Marketshare</a:t>
                </a:r>
                <a:r>
                  <a:rPr lang="en-US" baseline="0"/>
                  <a:t> Profit value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1085724800"/>
        <c:crosses val="autoZero"/>
        <c:auto val="1"/>
        <c:lblAlgn val="ctr"/>
        <c:lblOffset val="100"/>
        <c:noMultiLvlLbl val="0"/>
      </c:catAx>
      <c:valAx>
        <c:axId val="108572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108572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Regression</a:t>
            </a:r>
            <a:r>
              <a:rPr lang="en-US" baseline="0"/>
              <a:t> Analysis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G"/>
                </a:p>
              </c:txPr>
            </c:trendlineLbl>
          </c:trendline>
          <c:xVal>
            <c:numRef>
              <c:f>[3]Sheet3!$D$6:$D$23</c:f>
              <c:numCache>
                <c:formatCode>General</c:formatCode>
                <c:ptCount val="18"/>
                <c:pt idx="0">
                  <c:v>182.5</c:v>
                </c:pt>
                <c:pt idx="1">
                  <c:v>188</c:v>
                </c:pt>
                <c:pt idx="2">
                  <c:v>190</c:v>
                </c:pt>
                <c:pt idx="3">
                  <c:v>190.5</c:v>
                </c:pt>
                <c:pt idx="4">
                  <c:v>220.4</c:v>
                </c:pt>
                <c:pt idx="5" formatCode="#,##0.00">
                  <c:v>225.51</c:v>
                </c:pt>
                <c:pt idx="6" formatCode="#,##0.00">
                  <c:v>244.64</c:v>
                </c:pt>
                <c:pt idx="7" formatCode="#,##0">
                  <c:v>269</c:v>
                </c:pt>
                <c:pt idx="8" formatCode="#,##0">
                  <c:v>285</c:v>
                </c:pt>
                <c:pt idx="9" formatCode="#,##0">
                  <c:v>297</c:v>
                </c:pt>
                <c:pt idx="10" formatCode="#,##0">
                  <c:v>310</c:v>
                </c:pt>
                <c:pt idx="11" formatCode="#,##0">
                  <c:v>310</c:v>
                </c:pt>
                <c:pt idx="12" formatCode="#,##0">
                  <c:v>326</c:v>
                </c:pt>
                <c:pt idx="13" formatCode="#,##0">
                  <c:v>369</c:v>
                </c:pt>
                <c:pt idx="14" formatCode="#,##0">
                  <c:v>419</c:v>
                </c:pt>
                <c:pt idx="15" formatCode="#,##0">
                  <c:v>477</c:v>
                </c:pt>
                <c:pt idx="16" formatCode="#,##0">
                  <c:v>529</c:v>
                </c:pt>
                <c:pt idx="17" formatCode="#,##0">
                  <c:v>615</c:v>
                </c:pt>
              </c:numCache>
            </c:numRef>
          </c:xVal>
          <c:yVal>
            <c:numRef>
              <c:f>[3]Sheet3!$E$6:$E$23</c:f>
              <c:numCache>
                <c:formatCode>General</c:formatCode>
                <c:ptCount val="18"/>
                <c:pt idx="0">
                  <c:v>1008460</c:v>
                </c:pt>
                <c:pt idx="1">
                  <c:v>1012140</c:v>
                </c:pt>
                <c:pt idx="2">
                  <c:v>1056452</c:v>
                </c:pt>
                <c:pt idx="3">
                  <c:v>1096450</c:v>
                </c:pt>
                <c:pt idx="4">
                  <c:v>1120460</c:v>
                </c:pt>
                <c:pt idx="5">
                  <c:v>1180450</c:v>
                </c:pt>
                <c:pt idx="6">
                  <c:v>1210560</c:v>
                </c:pt>
                <c:pt idx="7">
                  <c:v>1265450</c:v>
                </c:pt>
                <c:pt idx="8">
                  <c:v>1397780</c:v>
                </c:pt>
                <c:pt idx="9">
                  <c:v>1410000</c:v>
                </c:pt>
                <c:pt idx="10">
                  <c:v>1492040</c:v>
                </c:pt>
                <c:pt idx="11">
                  <c:v>1525000</c:v>
                </c:pt>
                <c:pt idx="12">
                  <c:v>1604570</c:v>
                </c:pt>
                <c:pt idx="13">
                  <c:v>1666270</c:v>
                </c:pt>
                <c:pt idx="14">
                  <c:v>1750440</c:v>
                </c:pt>
                <c:pt idx="15">
                  <c:v>1811160</c:v>
                </c:pt>
                <c:pt idx="16">
                  <c:v>1851006</c:v>
                </c:pt>
                <c:pt idx="17">
                  <c:v>1890851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10-4279-B685-780B42FA5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759232"/>
        <c:axId val="1086749248"/>
      </c:scatterChart>
      <c:valAx>
        <c:axId val="1086759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Marketshare of software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1086749248"/>
        <c:crosses val="autoZero"/>
        <c:crossBetween val="midCat"/>
      </c:valAx>
      <c:valAx>
        <c:axId val="108674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Software</a:t>
                </a:r>
                <a:r>
                  <a:rPr lang="en-US" baseline="0"/>
                  <a:t> Developers Employed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G"/>
          </a:p>
        </c:txPr>
        <c:crossAx val="1086759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179745</xdr:colOff>
      <xdr:row>66</xdr:row>
      <xdr:rowOff>141645</xdr:rowOff>
    </xdr:from>
    <xdr:to>
      <xdr:col>18</xdr:col>
      <xdr:colOff>450132</xdr:colOff>
      <xdr:row>80</xdr:row>
      <xdr:rowOff>11982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3061843-0DAE-44FC-A1A0-7C803D2631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399737</xdr:colOff>
      <xdr:row>99</xdr:row>
      <xdr:rowOff>119608</xdr:rowOff>
    </xdr:from>
    <xdr:to>
      <xdr:col>41</xdr:col>
      <xdr:colOff>99934</xdr:colOff>
      <xdr:row>116</xdr:row>
      <xdr:rowOff>20923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F97F040-9040-42BC-ACE9-2E524088F1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658519</xdr:colOff>
      <xdr:row>31</xdr:row>
      <xdr:rowOff>70554</xdr:rowOff>
    </xdr:from>
    <xdr:to>
      <xdr:col>31</xdr:col>
      <xdr:colOff>665505</xdr:colOff>
      <xdr:row>45</xdr:row>
      <xdr:rowOff>44795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F3A8096-9E54-4472-9958-D322AAF84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778841</xdr:colOff>
      <xdr:row>26</xdr:row>
      <xdr:rowOff>96645</xdr:rowOff>
    </xdr:from>
    <xdr:to>
      <xdr:col>18</xdr:col>
      <xdr:colOff>70901</xdr:colOff>
      <xdr:row>39</xdr:row>
      <xdr:rowOff>129151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2C6CDF9-7D5A-4F3B-B66C-0D7E9CD93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44</xdr:row>
      <xdr:rowOff>177800</xdr:rowOff>
    </xdr:from>
    <xdr:to>
      <xdr:col>15</xdr:col>
      <xdr:colOff>139700</xdr:colOff>
      <xdr:row>59</xdr:row>
      <xdr:rowOff>50800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D704BB59-C015-B02F-0D5C-1B87DEFDE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980356</xdr:colOff>
      <xdr:row>54</xdr:row>
      <xdr:rowOff>147009</xdr:rowOff>
    </xdr:from>
    <xdr:to>
      <xdr:col>5</xdr:col>
      <xdr:colOff>376507</xdr:colOff>
      <xdr:row>69</xdr:row>
      <xdr:rowOff>14737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EAF47DA7-4121-CCEB-6935-5993A8D25D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504825</xdr:colOff>
      <xdr:row>9</xdr:row>
      <xdr:rowOff>161925</xdr:rowOff>
    </xdr:from>
    <xdr:to>
      <xdr:col>16</xdr:col>
      <xdr:colOff>200025</xdr:colOff>
      <xdr:row>24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A52820-6760-C1A3-4957-64CBAFC673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561975</xdr:colOff>
      <xdr:row>32</xdr:row>
      <xdr:rowOff>42862</xdr:rowOff>
    </xdr:from>
    <xdr:to>
      <xdr:col>16</xdr:col>
      <xdr:colOff>257175</xdr:colOff>
      <xdr:row>46</xdr:row>
      <xdr:rowOff>109537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154CFF2-0CD6-C13C-3969-B40F49DAD0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6</xdr:row>
      <xdr:rowOff>23812</xdr:rowOff>
    </xdr:from>
    <xdr:to>
      <xdr:col>14</xdr:col>
      <xdr:colOff>28575</xdr:colOff>
      <xdr:row>20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2D8755-BD90-43B7-99C6-C5B9A81037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ternetUsageUSA_ENM500MainProject_SabaHussa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oftware%20dev%20half%20don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imulations-v2.15%20(3)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Analysis of the dataset"/>
      <sheetName val="Simulation results"/>
      <sheetName val="Chi-Square and F distribution"/>
    </sheetNames>
    <sheetDataSet>
      <sheetData sheetId="0">
        <row r="4">
          <cell r="C4">
            <v>1.95</v>
          </cell>
        </row>
        <row r="5">
          <cell r="C5">
            <v>4.4000000000000004</v>
          </cell>
        </row>
        <row r="6">
          <cell r="C6">
            <v>12.75</v>
          </cell>
        </row>
        <row r="7">
          <cell r="C7">
            <v>44.17</v>
          </cell>
        </row>
        <row r="8">
          <cell r="C8">
            <v>83.01</v>
          </cell>
        </row>
        <row r="9">
          <cell r="C9">
            <v>121.65</v>
          </cell>
        </row>
        <row r="10">
          <cell r="C10">
            <v>169.51</v>
          </cell>
        </row>
        <row r="11">
          <cell r="C11">
            <v>190.36</v>
          </cell>
        </row>
        <row r="12">
          <cell r="C12">
            <v>206.61</v>
          </cell>
        </row>
        <row r="13">
          <cell r="C13">
            <v>226.21</v>
          </cell>
        </row>
        <row r="14">
          <cell r="C14">
            <v>223.09</v>
          </cell>
        </row>
        <row r="15">
          <cell r="C15">
            <v>236.54</v>
          </cell>
        </row>
        <row r="16">
          <cell r="C16">
            <v>235.08</v>
          </cell>
        </row>
        <row r="17">
          <cell r="C17">
            <v>279.91000000000003</v>
          </cell>
        </row>
        <row r="18">
          <cell r="C18">
            <v>293.94</v>
          </cell>
        </row>
        <row r="19">
          <cell r="C19">
            <v>305.37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3">
          <cell r="Y33" t="str">
            <v>Frequency</v>
          </cell>
        </row>
        <row r="34">
          <cell r="X34">
            <v>1008400</v>
          </cell>
          <cell r="Y34">
            <v>0</v>
          </cell>
        </row>
        <row r="35">
          <cell r="X35">
            <v>1088618</v>
          </cell>
          <cell r="Y35">
            <v>3</v>
          </cell>
        </row>
        <row r="36">
          <cell r="X36">
            <v>1168836</v>
          </cell>
          <cell r="Y36">
            <v>2</v>
          </cell>
        </row>
        <row r="37">
          <cell r="I37" t="str">
            <v>Frequency</v>
          </cell>
          <cell r="X37">
            <v>1249054</v>
          </cell>
          <cell r="Y37">
            <v>2</v>
          </cell>
        </row>
        <row r="38">
          <cell r="H38">
            <v>180</v>
          </cell>
          <cell r="I38">
            <v>0</v>
          </cell>
          <cell r="X38">
            <v>1329272</v>
          </cell>
          <cell r="Y38">
            <v>1</v>
          </cell>
        </row>
        <row r="39">
          <cell r="H39">
            <v>200</v>
          </cell>
          <cell r="I39">
            <v>4</v>
          </cell>
          <cell r="X39">
            <v>1409490</v>
          </cell>
          <cell r="Y39">
            <v>1</v>
          </cell>
        </row>
        <row r="40">
          <cell r="H40">
            <v>220</v>
          </cell>
          <cell r="I40">
            <v>0</v>
          </cell>
          <cell r="X40">
            <v>1489708</v>
          </cell>
          <cell r="Y40">
            <v>1</v>
          </cell>
        </row>
        <row r="41">
          <cell r="H41">
            <v>240</v>
          </cell>
          <cell r="I41">
            <v>2</v>
          </cell>
          <cell r="X41">
            <v>1569926</v>
          </cell>
          <cell r="Y41">
            <v>2</v>
          </cell>
        </row>
        <row r="42">
          <cell r="H42">
            <v>260</v>
          </cell>
          <cell r="I42">
            <v>1</v>
          </cell>
          <cell r="X42">
            <v>1650144</v>
          </cell>
          <cell r="Y42">
            <v>1</v>
          </cell>
        </row>
        <row r="43">
          <cell r="H43">
            <v>280</v>
          </cell>
          <cell r="I43">
            <v>1</v>
          </cell>
          <cell r="X43">
            <v>1730362</v>
          </cell>
          <cell r="Y43">
            <v>1</v>
          </cell>
        </row>
        <row r="44">
          <cell r="H44">
            <v>300</v>
          </cell>
          <cell r="I44">
            <v>2</v>
          </cell>
          <cell r="X44">
            <v>1810580</v>
          </cell>
          <cell r="Y44">
            <v>1</v>
          </cell>
        </row>
        <row r="45">
          <cell r="H45">
            <v>320</v>
          </cell>
          <cell r="I45">
            <v>2</v>
          </cell>
          <cell r="X45">
            <v>1890798</v>
          </cell>
          <cell r="Y45">
            <v>2</v>
          </cell>
        </row>
        <row r="46">
          <cell r="H46">
            <v>340</v>
          </cell>
          <cell r="I46">
            <v>1</v>
          </cell>
          <cell r="X46">
            <v>1971016</v>
          </cell>
          <cell r="Y46">
            <v>1</v>
          </cell>
        </row>
        <row r="47">
          <cell r="H47">
            <v>360</v>
          </cell>
          <cell r="I47">
            <v>0</v>
          </cell>
          <cell r="X47" t="str">
            <v>More</v>
          </cell>
          <cell r="Y47">
            <v>0</v>
          </cell>
        </row>
        <row r="48">
          <cell r="H48">
            <v>380</v>
          </cell>
          <cell r="I48">
            <v>1</v>
          </cell>
        </row>
        <row r="49">
          <cell r="H49">
            <v>400</v>
          </cell>
          <cell r="I49">
            <v>0</v>
          </cell>
        </row>
        <row r="50">
          <cell r="H50">
            <v>420</v>
          </cell>
          <cell r="I50">
            <v>1</v>
          </cell>
        </row>
        <row r="51">
          <cell r="H51">
            <v>440</v>
          </cell>
          <cell r="I51">
            <v>0</v>
          </cell>
        </row>
        <row r="52">
          <cell r="H52">
            <v>460</v>
          </cell>
          <cell r="I52">
            <v>0</v>
          </cell>
        </row>
        <row r="53">
          <cell r="H53">
            <v>480</v>
          </cell>
          <cell r="I53">
            <v>1</v>
          </cell>
        </row>
        <row r="54">
          <cell r="H54">
            <v>500</v>
          </cell>
          <cell r="I54">
            <v>0</v>
          </cell>
        </row>
        <row r="55">
          <cell r="H55">
            <v>520</v>
          </cell>
          <cell r="I55">
            <v>0</v>
          </cell>
        </row>
        <row r="56">
          <cell r="H56">
            <v>540</v>
          </cell>
          <cell r="I56">
            <v>1</v>
          </cell>
        </row>
        <row r="57">
          <cell r="H57">
            <v>560</v>
          </cell>
          <cell r="I57">
            <v>0</v>
          </cell>
        </row>
        <row r="58">
          <cell r="H58">
            <v>580</v>
          </cell>
          <cell r="I58">
            <v>0</v>
          </cell>
        </row>
        <row r="59">
          <cell r="H59">
            <v>600</v>
          </cell>
          <cell r="I59">
            <v>0</v>
          </cell>
        </row>
        <row r="60">
          <cell r="H60">
            <v>620</v>
          </cell>
          <cell r="I60">
            <v>1</v>
          </cell>
        </row>
        <row r="61">
          <cell r="H61" t="str">
            <v>More</v>
          </cell>
          <cell r="I61">
            <v>0</v>
          </cell>
        </row>
        <row r="69">
          <cell r="W69">
            <v>180</v>
          </cell>
          <cell r="X69">
            <v>0</v>
          </cell>
        </row>
        <row r="70">
          <cell r="W70">
            <v>200</v>
          </cell>
          <cell r="X70">
            <v>4</v>
          </cell>
        </row>
        <row r="71">
          <cell r="W71">
            <v>220</v>
          </cell>
          <cell r="X71">
            <v>4</v>
          </cell>
        </row>
        <row r="72">
          <cell r="W72">
            <v>240</v>
          </cell>
          <cell r="X72">
            <v>6</v>
          </cell>
        </row>
        <row r="73">
          <cell r="J73" t="str">
            <v>P &lt; Xlower</v>
          </cell>
          <cell r="K73">
            <v>0.27771756256104901</v>
          </cell>
          <cell r="W73">
            <v>260</v>
          </cell>
          <cell r="X73">
            <v>7</v>
          </cell>
        </row>
        <row r="74">
          <cell r="J74" t="str">
            <v>P &gt; Xupper</v>
          </cell>
          <cell r="K74">
            <v>0.41689623382613172</v>
          </cell>
          <cell r="W74">
            <v>280</v>
          </cell>
          <cell r="X74">
            <v>8</v>
          </cell>
        </row>
        <row r="75">
          <cell r="J75" t="str">
            <v>P between</v>
          </cell>
          <cell r="K75">
            <v>0.30538620361281926</v>
          </cell>
          <cell r="W75">
            <v>300</v>
          </cell>
          <cell r="X75">
            <v>10</v>
          </cell>
        </row>
        <row r="76">
          <cell r="W76">
            <v>320</v>
          </cell>
          <cell r="X76">
            <v>12</v>
          </cell>
        </row>
        <row r="77">
          <cell r="W77">
            <v>340</v>
          </cell>
          <cell r="X77">
            <v>13</v>
          </cell>
        </row>
        <row r="78">
          <cell r="W78">
            <v>360</v>
          </cell>
          <cell r="X78">
            <v>13</v>
          </cell>
        </row>
        <row r="79">
          <cell r="W79">
            <v>380</v>
          </cell>
          <cell r="X79">
            <v>14</v>
          </cell>
        </row>
        <row r="80">
          <cell r="W80">
            <v>400</v>
          </cell>
          <cell r="X80">
            <v>14</v>
          </cell>
        </row>
        <row r="81">
          <cell r="W81">
            <v>420</v>
          </cell>
          <cell r="X81">
            <v>15</v>
          </cell>
        </row>
        <row r="82">
          <cell r="W82">
            <v>440</v>
          </cell>
          <cell r="X82">
            <v>15</v>
          </cell>
        </row>
        <row r="83">
          <cell r="W83">
            <v>460</v>
          </cell>
          <cell r="X83">
            <v>15</v>
          </cell>
        </row>
        <row r="84">
          <cell r="W84">
            <v>480</v>
          </cell>
          <cell r="X84">
            <v>16</v>
          </cell>
        </row>
        <row r="85">
          <cell r="W85">
            <v>500</v>
          </cell>
          <cell r="X85">
            <v>16</v>
          </cell>
        </row>
        <row r="86">
          <cell r="W86">
            <v>520</v>
          </cell>
          <cell r="X86">
            <v>16</v>
          </cell>
        </row>
        <row r="87">
          <cell r="W87">
            <v>540</v>
          </cell>
          <cell r="X87">
            <v>17</v>
          </cell>
        </row>
        <row r="88">
          <cell r="W88">
            <v>560</v>
          </cell>
          <cell r="X88">
            <v>17</v>
          </cell>
        </row>
        <row r="89">
          <cell r="W89">
            <v>580</v>
          </cell>
          <cell r="X89">
            <v>17</v>
          </cell>
        </row>
        <row r="90">
          <cell r="W90">
            <v>600</v>
          </cell>
          <cell r="X90">
            <v>17</v>
          </cell>
        </row>
        <row r="91">
          <cell r="W91">
            <v>620</v>
          </cell>
          <cell r="X91">
            <v>18</v>
          </cell>
        </row>
        <row r="107">
          <cell r="AG107" t="str">
            <v>Frequency</v>
          </cell>
        </row>
        <row r="108">
          <cell r="AF108">
            <v>0.1</v>
          </cell>
          <cell r="AG108">
            <v>1</v>
          </cell>
        </row>
        <row r="109">
          <cell r="AF109">
            <v>0.15</v>
          </cell>
          <cell r="AG109">
            <v>2</v>
          </cell>
        </row>
        <row r="110">
          <cell r="AF110">
            <v>0.2</v>
          </cell>
          <cell r="AG110">
            <v>7</v>
          </cell>
        </row>
        <row r="111">
          <cell r="AF111">
            <v>0.25</v>
          </cell>
          <cell r="AG111">
            <v>9</v>
          </cell>
        </row>
        <row r="112">
          <cell r="AF112">
            <v>0.3</v>
          </cell>
          <cell r="AG112">
            <v>9</v>
          </cell>
        </row>
        <row r="113">
          <cell r="AF113">
            <v>0.35</v>
          </cell>
          <cell r="AG113">
            <v>10</v>
          </cell>
        </row>
        <row r="114">
          <cell r="AF114">
            <v>0.4</v>
          </cell>
          <cell r="AG114">
            <v>7</v>
          </cell>
        </row>
        <row r="115">
          <cell r="AF115">
            <v>0.45</v>
          </cell>
          <cell r="AG115">
            <v>3</v>
          </cell>
        </row>
        <row r="116">
          <cell r="AF116">
            <v>0.5</v>
          </cell>
          <cell r="AG116">
            <v>0</v>
          </cell>
        </row>
        <row r="117">
          <cell r="AF117" t="str">
            <v>More</v>
          </cell>
          <cell r="AG117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imulation results"/>
      <sheetName val="Sheet3"/>
    </sheetNames>
    <sheetDataSet>
      <sheetData sheetId="0"/>
      <sheetData sheetId="1"/>
      <sheetData sheetId="2"/>
      <sheetData sheetId="3">
        <row r="6">
          <cell r="C6">
            <v>61350</v>
          </cell>
          <cell r="D6">
            <v>182.5</v>
          </cell>
          <cell r="E6">
            <v>1008460</v>
          </cell>
        </row>
        <row r="7">
          <cell r="C7">
            <v>61400</v>
          </cell>
          <cell r="D7">
            <v>188</v>
          </cell>
          <cell r="E7">
            <v>1012140</v>
          </cell>
        </row>
        <row r="8">
          <cell r="C8">
            <v>61390</v>
          </cell>
          <cell r="D8">
            <v>190</v>
          </cell>
          <cell r="E8">
            <v>1056452</v>
          </cell>
        </row>
        <row r="9">
          <cell r="C9">
            <v>61480</v>
          </cell>
          <cell r="D9">
            <v>190.5</v>
          </cell>
          <cell r="E9">
            <v>1096450</v>
          </cell>
        </row>
        <row r="10">
          <cell r="C10">
            <v>61520</v>
          </cell>
          <cell r="D10">
            <v>220.4</v>
          </cell>
          <cell r="E10">
            <v>1120460</v>
          </cell>
        </row>
        <row r="11">
          <cell r="C11">
            <v>61500</v>
          </cell>
          <cell r="D11">
            <v>225.51</v>
          </cell>
          <cell r="E11">
            <v>1180450</v>
          </cell>
        </row>
        <row r="12">
          <cell r="C12">
            <v>61550</v>
          </cell>
          <cell r="D12">
            <v>244.64</v>
          </cell>
          <cell r="E12">
            <v>1210560</v>
          </cell>
        </row>
        <row r="13">
          <cell r="C13">
            <v>61590</v>
          </cell>
          <cell r="D13">
            <v>269</v>
          </cell>
          <cell r="E13">
            <v>1265450</v>
          </cell>
        </row>
        <row r="14">
          <cell r="C14">
            <v>61600</v>
          </cell>
          <cell r="D14">
            <v>285</v>
          </cell>
          <cell r="E14">
            <v>1397780</v>
          </cell>
        </row>
        <row r="15">
          <cell r="C15">
            <v>61650</v>
          </cell>
          <cell r="D15">
            <v>297</v>
          </cell>
          <cell r="E15">
            <v>1410000</v>
          </cell>
        </row>
        <row r="16">
          <cell r="C16">
            <v>61700</v>
          </cell>
          <cell r="D16">
            <v>310</v>
          </cell>
          <cell r="E16">
            <v>1492040</v>
          </cell>
        </row>
        <row r="17">
          <cell r="C17">
            <v>61700</v>
          </cell>
          <cell r="D17">
            <v>310</v>
          </cell>
          <cell r="E17">
            <v>1525000</v>
          </cell>
        </row>
        <row r="18">
          <cell r="C18">
            <v>61800</v>
          </cell>
          <cell r="D18">
            <v>326</v>
          </cell>
          <cell r="E18">
            <v>1604570</v>
          </cell>
        </row>
        <row r="19">
          <cell r="C19">
            <v>61820</v>
          </cell>
          <cell r="D19">
            <v>369</v>
          </cell>
          <cell r="E19">
            <v>1666270</v>
          </cell>
        </row>
        <row r="20">
          <cell r="C20">
            <v>62000</v>
          </cell>
          <cell r="D20">
            <v>419</v>
          </cell>
          <cell r="E20">
            <v>1750440</v>
          </cell>
        </row>
        <row r="21">
          <cell r="C21">
            <v>63400</v>
          </cell>
          <cell r="D21">
            <v>477</v>
          </cell>
          <cell r="E21">
            <v>1811160</v>
          </cell>
        </row>
        <row r="22">
          <cell r="C22">
            <v>64600</v>
          </cell>
          <cell r="D22">
            <v>529</v>
          </cell>
          <cell r="E22">
            <v>1851006</v>
          </cell>
        </row>
        <row r="23">
          <cell r="C23">
            <v>70000</v>
          </cell>
          <cell r="D23">
            <v>615</v>
          </cell>
          <cell r="E23">
            <v>1890851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F238"/>
  <sheetViews>
    <sheetView tabSelected="1" topLeftCell="P82" zoomScale="68" zoomScaleNormal="110" workbookViewId="0">
      <selection activeCell="P117" sqref="P117:P118"/>
    </sheetView>
  </sheetViews>
  <sheetFormatPr defaultColWidth="11.42578125" defaultRowHeight="15" x14ac:dyDescent="0.25"/>
  <cols>
    <col min="3" max="3" width="30.5703125" customWidth="1"/>
    <col min="4" max="4" width="18.140625" customWidth="1"/>
    <col min="5" max="5" width="28.85546875" customWidth="1"/>
    <col min="9" max="9" width="8" customWidth="1"/>
    <col min="10" max="10" width="11.42578125" hidden="1" customWidth="1"/>
    <col min="12" max="12" width="19.7109375" customWidth="1"/>
    <col min="14" max="14" width="23.85546875" customWidth="1"/>
    <col min="16" max="16" width="20.7109375" customWidth="1"/>
    <col min="23" max="23" width="17.140625" customWidth="1"/>
  </cols>
  <sheetData>
    <row r="1" spans="2:8" x14ac:dyDescent="0.25">
      <c r="B1" t="s">
        <v>0</v>
      </c>
    </row>
    <row r="2" spans="2:8" x14ac:dyDescent="0.25">
      <c r="B2" t="s">
        <v>1</v>
      </c>
    </row>
    <row r="3" spans="2:8" x14ac:dyDescent="0.25">
      <c r="G3" s="1"/>
      <c r="H3" s="2"/>
    </row>
    <row r="4" spans="2:8" x14ac:dyDescent="0.25">
      <c r="B4" s="3" t="s">
        <v>2</v>
      </c>
      <c r="C4" s="3" t="s">
        <v>131</v>
      </c>
      <c r="D4" s="3" t="s">
        <v>4</v>
      </c>
      <c r="E4" s="3" t="s">
        <v>5</v>
      </c>
      <c r="G4" s="1"/>
      <c r="H4" s="2"/>
    </row>
    <row r="5" spans="2:8" x14ac:dyDescent="0.25">
      <c r="B5" s="4"/>
      <c r="C5" s="4" t="s">
        <v>6</v>
      </c>
      <c r="D5" s="4" t="s">
        <v>7</v>
      </c>
      <c r="E5" s="4"/>
      <c r="G5" s="1"/>
      <c r="H5" s="5"/>
    </row>
    <row r="6" spans="2:8" x14ac:dyDescent="0.25">
      <c r="B6" s="4">
        <v>2004</v>
      </c>
      <c r="C6" s="4">
        <v>61350</v>
      </c>
      <c r="D6" s="4">
        <v>182.5</v>
      </c>
      <c r="E6" s="4">
        <v>1008460</v>
      </c>
      <c r="G6" s="1"/>
      <c r="H6" s="5"/>
    </row>
    <row r="7" spans="2:8" x14ac:dyDescent="0.25">
      <c r="B7" s="4">
        <v>2005</v>
      </c>
      <c r="C7" s="4">
        <v>61400</v>
      </c>
      <c r="D7" s="4">
        <v>188</v>
      </c>
      <c r="E7" s="4">
        <v>1012140</v>
      </c>
      <c r="G7" s="1"/>
      <c r="H7" s="5"/>
    </row>
    <row r="8" spans="2:8" x14ac:dyDescent="0.25">
      <c r="B8" s="4">
        <v>2006</v>
      </c>
      <c r="C8" s="4">
        <v>61390</v>
      </c>
      <c r="D8" s="4">
        <v>190</v>
      </c>
      <c r="E8" s="4">
        <v>1056452</v>
      </c>
      <c r="G8" s="1"/>
      <c r="H8" s="5"/>
    </row>
    <row r="9" spans="2:8" x14ac:dyDescent="0.25">
      <c r="B9" s="4">
        <v>2007</v>
      </c>
      <c r="C9" s="4">
        <v>61480</v>
      </c>
      <c r="D9" s="4">
        <v>190.5</v>
      </c>
      <c r="E9" s="4">
        <v>1096450</v>
      </c>
      <c r="G9" s="1"/>
      <c r="H9" s="5"/>
    </row>
    <row r="10" spans="2:8" x14ac:dyDescent="0.25">
      <c r="B10" s="4">
        <v>2008</v>
      </c>
      <c r="C10" s="4">
        <v>61520</v>
      </c>
      <c r="D10" s="4">
        <v>220.4</v>
      </c>
      <c r="E10" s="4">
        <v>1120460</v>
      </c>
      <c r="G10" s="1"/>
      <c r="H10" s="5"/>
    </row>
    <row r="11" spans="2:8" x14ac:dyDescent="0.25">
      <c r="B11" s="4">
        <v>2009</v>
      </c>
      <c r="C11" s="4">
        <v>61500</v>
      </c>
      <c r="D11" s="6">
        <v>225.51</v>
      </c>
      <c r="E11" s="4">
        <v>1180450</v>
      </c>
      <c r="G11" s="1"/>
      <c r="H11" s="5"/>
    </row>
    <row r="12" spans="2:8" x14ac:dyDescent="0.25">
      <c r="B12" s="4">
        <v>2010</v>
      </c>
      <c r="C12" s="4">
        <v>61550</v>
      </c>
      <c r="D12" s="6">
        <v>244.64</v>
      </c>
      <c r="E12" s="4">
        <v>1210560</v>
      </c>
      <c r="G12" s="1"/>
      <c r="H12" s="5"/>
    </row>
    <row r="13" spans="2:8" x14ac:dyDescent="0.25">
      <c r="B13" s="4">
        <v>2011</v>
      </c>
      <c r="C13" s="4">
        <v>61590</v>
      </c>
      <c r="D13" s="7">
        <v>269</v>
      </c>
      <c r="E13" s="4">
        <v>1265450</v>
      </c>
      <c r="G13" s="1"/>
      <c r="H13" s="5"/>
    </row>
    <row r="14" spans="2:8" x14ac:dyDescent="0.25">
      <c r="B14" s="4">
        <v>2012</v>
      </c>
      <c r="C14" s="4">
        <v>61600</v>
      </c>
      <c r="D14" s="7">
        <v>285</v>
      </c>
      <c r="E14" s="4">
        <v>1397780</v>
      </c>
      <c r="G14" s="1"/>
      <c r="H14" s="5"/>
    </row>
    <row r="15" spans="2:8" x14ac:dyDescent="0.25">
      <c r="B15" s="4">
        <v>2013</v>
      </c>
      <c r="C15" s="4">
        <v>61650</v>
      </c>
      <c r="D15" s="7">
        <v>297</v>
      </c>
      <c r="E15" s="4">
        <v>1410000</v>
      </c>
      <c r="G15" s="1"/>
      <c r="H15" s="5"/>
    </row>
    <row r="16" spans="2:8" x14ac:dyDescent="0.25">
      <c r="B16" s="4">
        <v>2014</v>
      </c>
      <c r="C16" s="4">
        <v>61700</v>
      </c>
      <c r="D16" s="7">
        <v>310</v>
      </c>
      <c r="E16" s="4">
        <v>1492040</v>
      </c>
      <c r="G16" s="1"/>
      <c r="H16" s="5"/>
    </row>
    <row r="17" spans="2:33" x14ac:dyDescent="0.25">
      <c r="B17" s="4">
        <v>2015</v>
      </c>
      <c r="C17" s="4">
        <v>61700</v>
      </c>
      <c r="D17" s="7">
        <v>310</v>
      </c>
      <c r="E17" s="4">
        <v>1525000</v>
      </c>
      <c r="G17" s="1"/>
      <c r="H17" s="5"/>
    </row>
    <row r="18" spans="2:33" x14ac:dyDescent="0.25">
      <c r="B18" s="4">
        <v>2016</v>
      </c>
      <c r="C18" s="4">
        <v>61800</v>
      </c>
      <c r="D18" s="7">
        <v>326</v>
      </c>
      <c r="E18" s="4">
        <v>1604570</v>
      </c>
    </row>
    <row r="19" spans="2:33" x14ac:dyDescent="0.25">
      <c r="B19" s="4">
        <v>2017</v>
      </c>
      <c r="C19" s="4">
        <v>61820</v>
      </c>
      <c r="D19" s="7">
        <v>369</v>
      </c>
      <c r="E19" s="4">
        <v>1666270</v>
      </c>
    </row>
    <row r="20" spans="2:33" x14ac:dyDescent="0.25">
      <c r="B20" s="4">
        <v>2018</v>
      </c>
      <c r="C20" s="4">
        <v>62000</v>
      </c>
      <c r="D20" s="7">
        <v>419</v>
      </c>
      <c r="E20" s="4">
        <v>1750440</v>
      </c>
      <c r="N20" s="43" t="s">
        <v>147</v>
      </c>
    </row>
    <row r="21" spans="2:33" x14ac:dyDescent="0.25">
      <c r="B21" s="4">
        <v>2019</v>
      </c>
      <c r="C21" s="4">
        <v>63400</v>
      </c>
      <c r="D21" s="7">
        <v>477</v>
      </c>
      <c r="E21" s="4">
        <v>1811160</v>
      </c>
    </row>
    <row r="22" spans="2:33" x14ac:dyDescent="0.25">
      <c r="B22" s="4">
        <v>2020</v>
      </c>
      <c r="C22" s="4">
        <v>64600</v>
      </c>
      <c r="D22" s="7">
        <v>529</v>
      </c>
      <c r="E22" s="4">
        <v>1851006</v>
      </c>
    </row>
    <row r="23" spans="2:33" x14ac:dyDescent="0.25">
      <c r="B23" s="4">
        <v>2021</v>
      </c>
      <c r="C23" s="4">
        <v>70000</v>
      </c>
      <c r="D23" s="7">
        <v>615</v>
      </c>
      <c r="E23" s="4">
        <v>1890851</v>
      </c>
    </row>
    <row r="25" spans="2:33" ht="15.75" thickBot="1" x14ac:dyDescent="0.3">
      <c r="C25" s="68"/>
      <c r="D25" s="94"/>
      <c r="E25" s="68"/>
      <c r="F25" s="68"/>
    </row>
    <row r="26" spans="2:33" x14ac:dyDescent="0.25">
      <c r="B26" s="31"/>
      <c r="C26" s="32"/>
      <c r="D26" s="258"/>
      <c r="E26" s="32"/>
      <c r="F26" s="32"/>
      <c r="G26" s="33"/>
      <c r="H26" s="9"/>
      <c r="I26" s="261" t="s">
        <v>8</v>
      </c>
      <c r="J26" s="9"/>
      <c r="K26" s="9"/>
      <c r="L26" s="9"/>
      <c r="M26" s="9"/>
      <c r="N26" s="9"/>
      <c r="O26" s="9"/>
      <c r="P26" s="9"/>
      <c r="Q26" s="9"/>
      <c r="R26" s="9"/>
      <c r="S26" s="9"/>
      <c r="T26" s="10"/>
    </row>
    <row r="27" spans="2:33" x14ac:dyDescent="0.25">
      <c r="B27" s="34"/>
      <c r="C27" s="197" t="s">
        <v>166</v>
      </c>
      <c r="D27" s="68"/>
      <c r="E27" s="68"/>
      <c r="F27" s="68"/>
      <c r="G27" s="36"/>
      <c r="H27" s="68"/>
      <c r="T27" s="12"/>
      <c r="W27" s="8"/>
      <c r="X27" s="9"/>
      <c r="Y27" s="9"/>
      <c r="Z27" s="102" t="s">
        <v>132</v>
      </c>
      <c r="AA27" s="9"/>
      <c r="AB27" s="9"/>
      <c r="AC27" s="9"/>
      <c r="AD27" s="9"/>
      <c r="AE27" s="9"/>
      <c r="AF27" s="9"/>
      <c r="AG27" s="10"/>
    </row>
    <row r="28" spans="2:33" x14ac:dyDescent="0.25">
      <c r="B28" s="34"/>
      <c r="C28" s="68"/>
      <c r="D28" s="68"/>
      <c r="E28" s="68"/>
      <c r="F28" s="68"/>
      <c r="G28" s="36"/>
      <c r="H28" s="68"/>
      <c r="J28">
        <f>MIN(D6:D23)</f>
        <v>182.5</v>
      </c>
      <c r="T28" s="12"/>
      <c r="W28" s="11"/>
      <c r="AG28" s="12"/>
    </row>
    <row r="29" spans="2:33" x14ac:dyDescent="0.25">
      <c r="B29" s="34"/>
      <c r="C29" s="68"/>
      <c r="D29" s="68"/>
      <c r="E29" s="68"/>
      <c r="F29" s="68"/>
      <c r="G29" s="36"/>
      <c r="H29" s="68"/>
      <c r="J29">
        <f>MAX(D6:D23)</f>
        <v>615</v>
      </c>
      <c r="T29" s="12"/>
      <c r="W29" s="11"/>
      <c r="AG29" s="12"/>
    </row>
    <row r="30" spans="2:33" x14ac:dyDescent="0.25">
      <c r="B30" s="34"/>
      <c r="C30" s="68"/>
      <c r="D30" s="68"/>
      <c r="E30" s="68"/>
      <c r="F30" s="68"/>
      <c r="G30" s="36"/>
      <c r="H30" s="68"/>
      <c r="T30" s="12"/>
      <c r="W30" s="11"/>
      <c r="AG30" s="12"/>
    </row>
    <row r="31" spans="2:33" x14ac:dyDescent="0.25">
      <c r="B31" s="34"/>
      <c r="C31" s="68"/>
      <c r="D31" s="68"/>
      <c r="E31" s="68"/>
      <c r="F31" s="68"/>
      <c r="G31" s="36"/>
      <c r="H31" s="68"/>
      <c r="T31" s="12"/>
      <c r="W31" s="11"/>
      <c r="AG31" s="12"/>
    </row>
    <row r="32" spans="2:33" ht="15.75" thickBot="1" x14ac:dyDescent="0.3">
      <c r="B32" s="34"/>
      <c r="C32" s="68"/>
      <c r="D32" s="68"/>
      <c r="E32" s="68"/>
      <c r="F32" s="68"/>
      <c r="G32" s="36"/>
      <c r="H32" s="68"/>
      <c r="T32" s="12"/>
      <c r="W32" s="11"/>
      <c r="AG32" s="12"/>
    </row>
    <row r="33" spans="2:33" x14ac:dyDescent="0.25">
      <c r="B33" s="34"/>
      <c r="C33" s="68"/>
      <c r="D33" s="68"/>
      <c r="E33" s="68"/>
      <c r="F33" s="68"/>
      <c r="G33" s="36"/>
      <c r="H33" s="68"/>
      <c r="T33" s="12"/>
      <c r="W33" s="11"/>
      <c r="X33" s="13" t="s">
        <v>11</v>
      </c>
      <c r="Y33" s="13" t="s">
        <v>12</v>
      </c>
      <c r="AG33" s="12"/>
    </row>
    <row r="34" spans="2:33" x14ac:dyDescent="0.25">
      <c r="B34" s="34"/>
      <c r="C34" s="68"/>
      <c r="D34" s="68"/>
      <c r="E34" s="68"/>
      <c r="F34" s="68"/>
      <c r="G34" s="36"/>
      <c r="H34" s="68"/>
      <c r="T34" s="12"/>
      <c r="W34" s="11"/>
      <c r="X34">
        <v>1008400</v>
      </c>
      <c r="Y34">
        <v>0</v>
      </c>
      <c r="AG34" s="12"/>
    </row>
    <row r="35" spans="2:33" x14ac:dyDescent="0.25">
      <c r="B35" s="34"/>
      <c r="C35" s="68"/>
      <c r="D35" s="68"/>
      <c r="E35" s="68"/>
      <c r="F35" s="68"/>
      <c r="G35" s="36"/>
      <c r="H35" s="68"/>
      <c r="T35" s="12"/>
      <c r="W35" s="11"/>
      <c r="X35">
        <v>1088618</v>
      </c>
      <c r="Y35">
        <v>3</v>
      </c>
      <c r="AG35" s="12"/>
    </row>
    <row r="36" spans="2:33" ht="15.75" thickBot="1" x14ac:dyDescent="0.3">
      <c r="B36" s="34"/>
      <c r="C36" s="68"/>
      <c r="D36" s="68"/>
      <c r="E36" s="68"/>
      <c r="F36" s="68"/>
      <c r="G36" s="36"/>
      <c r="H36" s="68"/>
      <c r="T36" s="12"/>
      <c r="W36" s="11"/>
      <c r="X36">
        <v>1168836</v>
      </c>
      <c r="Y36">
        <v>2</v>
      </c>
      <c r="AG36" s="12"/>
    </row>
    <row r="37" spans="2:33" ht="15.75" thickBot="1" x14ac:dyDescent="0.3">
      <c r="B37" s="34"/>
      <c r="C37" s="68"/>
      <c r="D37" s="68"/>
      <c r="E37" s="68"/>
      <c r="F37" s="68"/>
      <c r="G37" s="36"/>
      <c r="H37" s="13" t="s">
        <v>11</v>
      </c>
      <c r="I37" s="13" t="s">
        <v>12</v>
      </c>
      <c r="T37" s="12"/>
      <c r="W37" s="11"/>
      <c r="X37">
        <v>1249054</v>
      </c>
      <c r="Y37">
        <v>2</v>
      </c>
      <c r="AG37" s="12"/>
    </row>
    <row r="38" spans="2:33" x14ac:dyDescent="0.25">
      <c r="B38" s="34"/>
      <c r="C38" s="68">
        <v>61300</v>
      </c>
      <c r="D38" s="93" t="s">
        <v>11</v>
      </c>
      <c r="E38" s="93" t="s">
        <v>12</v>
      </c>
      <c r="F38" s="68"/>
      <c r="G38" s="36"/>
      <c r="H38" s="68">
        <v>180</v>
      </c>
      <c r="I38">
        <v>0</v>
      </c>
      <c r="T38" s="12"/>
      <c r="W38" s="11"/>
      <c r="X38">
        <v>1329272</v>
      </c>
      <c r="Y38">
        <v>1</v>
      </c>
      <c r="AG38" s="12"/>
    </row>
    <row r="39" spans="2:33" x14ac:dyDescent="0.25">
      <c r="B39" s="34"/>
      <c r="C39" s="95">
        <f>C38+786</f>
        <v>62086</v>
      </c>
      <c r="D39" s="90">
        <v>61300</v>
      </c>
      <c r="E39" s="91">
        <v>0</v>
      </c>
      <c r="F39" s="68"/>
      <c r="G39" s="36"/>
      <c r="H39" s="68">
        <v>200</v>
      </c>
      <c r="I39">
        <v>4</v>
      </c>
      <c r="T39" s="12"/>
      <c r="W39" s="11"/>
      <c r="X39">
        <v>1409490</v>
      </c>
      <c r="Y39">
        <v>1</v>
      </c>
      <c r="AG39" s="12"/>
    </row>
    <row r="40" spans="2:33" x14ac:dyDescent="0.25">
      <c r="B40" s="34"/>
      <c r="C40" s="95">
        <f t="shared" ref="C40:C69" si="0">C39+786</f>
        <v>62872</v>
      </c>
      <c r="D40" s="90">
        <v>62086</v>
      </c>
      <c r="E40" s="91">
        <v>15</v>
      </c>
      <c r="F40" s="68"/>
      <c r="G40" s="36"/>
      <c r="H40" s="68">
        <v>220</v>
      </c>
      <c r="I40">
        <v>0</v>
      </c>
      <c r="T40" s="12"/>
      <c r="W40" s="11"/>
      <c r="X40">
        <v>1489708</v>
      </c>
      <c r="Y40">
        <v>1</v>
      </c>
      <c r="AG40" s="12"/>
    </row>
    <row r="41" spans="2:33" x14ac:dyDescent="0.25">
      <c r="B41" s="34"/>
      <c r="C41" s="95">
        <f t="shared" si="0"/>
        <v>63658</v>
      </c>
      <c r="D41" s="90">
        <v>62872</v>
      </c>
      <c r="E41" s="91">
        <v>0</v>
      </c>
      <c r="F41" s="68"/>
      <c r="G41" s="36"/>
      <c r="H41" s="68">
        <v>240</v>
      </c>
      <c r="I41">
        <v>2</v>
      </c>
      <c r="T41" s="12"/>
      <c r="W41" s="11"/>
      <c r="X41">
        <v>1569926</v>
      </c>
      <c r="Y41">
        <v>2</v>
      </c>
      <c r="AG41" s="12"/>
    </row>
    <row r="42" spans="2:33" x14ac:dyDescent="0.25">
      <c r="B42" s="34"/>
      <c r="C42" s="95">
        <f t="shared" si="0"/>
        <v>64444</v>
      </c>
      <c r="D42" s="90">
        <v>63658</v>
      </c>
      <c r="E42" s="91">
        <v>1</v>
      </c>
      <c r="F42" s="97"/>
      <c r="G42" s="36"/>
      <c r="H42" s="68">
        <v>260</v>
      </c>
      <c r="I42">
        <v>1</v>
      </c>
      <c r="T42" s="12"/>
      <c r="W42" s="11"/>
      <c r="X42">
        <v>1650144</v>
      </c>
      <c r="Y42">
        <v>1</v>
      </c>
      <c r="AG42" s="12"/>
    </row>
    <row r="43" spans="2:33" x14ac:dyDescent="0.25">
      <c r="B43" s="34"/>
      <c r="C43" s="95">
        <f t="shared" si="0"/>
        <v>65230</v>
      </c>
      <c r="D43" s="90">
        <v>64444</v>
      </c>
      <c r="E43" s="91">
        <v>0</v>
      </c>
      <c r="F43" s="91"/>
      <c r="G43" s="36"/>
      <c r="H43" s="68">
        <v>280</v>
      </c>
      <c r="I43">
        <v>1</v>
      </c>
      <c r="T43" s="12"/>
      <c r="W43" s="11"/>
      <c r="X43">
        <v>1730362</v>
      </c>
      <c r="Y43">
        <v>1</v>
      </c>
      <c r="AG43" s="12"/>
    </row>
    <row r="44" spans="2:33" x14ac:dyDescent="0.25">
      <c r="B44" s="34"/>
      <c r="C44" s="95">
        <f t="shared" si="0"/>
        <v>66016</v>
      </c>
      <c r="D44" s="90">
        <v>65230</v>
      </c>
      <c r="E44" s="91">
        <v>1</v>
      </c>
      <c r="F44" s="91"/>
      <c r="G44" s="36"/>
      <c r="H44" s="68">
        <v>300</v>
      </c>
      <c r="I44">
        <v>2</v>
      </c>
      <c r="T44" s="12"/>
      <c r="W44" s="11"/>
      <c r="X44">
        <v>1810580</v>
      </c>
      <c r="Y44">
        <v>1</v>
      </c>
      <c r="AG44" s="12"/>
    </row>
    <row r="45" spans="2:33" x14ac:dyDescent="0.25">
      <c r="B45" s="34"/>
      <c r="C45" s="95">
        <f t="shared" si="0"/>
        <v>66802</v>
      </c>
      <c r="D45" s="90">
        <v>66016</v>
      </c>
      <c r="E45" s="91">
        <v>0</v>
      </c>
      <c r="F45" s="91"/>
      <c r="G45" s="36"/>
      <c r="H45" s="68">
        <v>320</v>
      </c>
      <c r="I45">
        <v>2</v>
      </c>
      <c r="T45" s="12"/>
      <c r="W45" s="11"/>
      <c r="X45">
        <v>1890798</v>
      </c>
      <c r="Y45">
        <v>2</v>
      </c>
      <c r="AG45" s="12"/>
    </row>
    <row r="46" spans="2:33" x14ac:dyDescent="0.25">
      <c r="B46" s="34"/>
      <c r="C46" s="95">
        <f t="shared" si="0"/>
        <v>67588</v>
      </c>
      <c r="D46" s="90">
        <v>66802</v>
      </c>
      <c r="E46" s="91">
        <v>0</v>
      </c>
      <c r="F46" s="91"/>
      <c r="G46" s="36"/>
      <c r="H46" s="68">
        <v>340</v>
      </c>
      <c r="I46">
        <v>1</v>
      </c>
      <c r="T46" s="12"/>
      <c r="W46" s="11"/>
      <c r="X46">
        <v>1971016</v>
      </c>
      <c r="Y46">
        <v>1</v>
      </c>
      <c r="AG46" s="12"/>
    </row>
    <row r="47" spans="2:33" ht="15.75" thickBot="1" x14ac:dyDescent="0.3">
      <c r="B47" s="34"/>
      <c r="C47" s="95">
        <f t="shared" si="0"/>
        <v>68374</v>
      </c>
      <c r="D47" s="90">
        <v>67588</v>
      </c>
      <c r="E47" s="91">
        <v>0</v>
      </c>
      <c r="F47" s="91"/>
      <c r="G47" s="36"/>
      <c r="H47" s="68">
        <v>360</v>
      </c>
      <c r="I47">
        <v>0</v>
      </c>
      <c r="T47" s="12"/>
      <c r="W47" s="11"/>
      <c r="X47" s="15" t="s">
        <v>13</v>
      </c>
      <c r="Y47" s="15">
        <v>0</v>
      </c>
      <c r="AG47" s="12"/>
    </row>
    <row r="48" spans="2:33" x14ac:dyDescent="0.25">
      <c r="B48" s="34"/>
      <c r="C48" s="95">
        <f t="shared" si="0"/>
        <v>69160</v>
      </c>
      <c r="D48" s="90">
        <v>68374</v>
      </c>
      <c r="E48" s="91">
        <v>0</v>
      </c>
      <c r="F48" s="91"/>
      <c r="G48" s="36"/>
      <c r="H48" s="68">
        <v>380</v>
      </c>
      <c r="I48">
        <v>1</v>
      </c>
      <c r="T48" s="12"/>
      <c r="W48" s="11"/>
      <c r="AG48" s="12"/>
    </row>
    <row r="49" spans="2:33" x14ac:dyDescent="0.25">
      <c r="B49" s="34"/>
      <c r="C49" s="95">
        <f t="shared" si="0"/>
        <v>69946</v>
      </c>
      <c r="D49" s="90">
        <v>69160</v>
      </c>
      <c r="E49" s="91">
        <v>0</v>
      </c>
      <c r="F49" s="91"/>
      <c r="G49" s="36"/>
      <c r="H49" s="68">
        <v>400</v>
      </c>
      <c r="I49">
        <v>0</v>
      </c>
      <c r="T49" s="12"/>
      <c r="W49" s="11"/>
      <c r="AG49" s="12"/>
    </row>
    <row r="50" spans="2:33" x14ac:dyDescent="0.25">
      <c r="B50" s="34"/>
      <c r="C50" s="95">
        <f t="shared" si="0"/>
        <v>70732</v>
      </c>
      <c r="D50" s="90">
        <v>69946</v>
      </c>
      <c r="E50" s="91">
        <v>0</v>
      </c>
      <c r="F50" s="91"/>
      <c r="G50" s="36"/>
      <c r="H50" s="68">
        <v>420</v>
      </c>
      <c r="I50">
        <v>1</v>
      </c>
      <c r="T50" s="12"/>
      <c r="W50" s="11"/>
      <c r="AG50" s="12"/>
    </row>
    <row r="51" spans="2:33" x14ac:dyDescent="0.25">
      <c r="B51" s="34"/>
      <c r="C51" s="95"/>
      <c r="D51" s="90">
        <v>70732</v>
      </c>
      <c r="E51" s="91">
        <v>1</v>
      </c>
      <c r="F51" s="91"/>
      <c r="G51" s="36"/>
      <c r="H51" s="68">
        <v>440</v>
      </c>
      <c r="I51">
        <v>0</v>
      </c>
      <c r="T51" s="12"/>
      <c r="W51" s="11"/>
      <c r="AG51" s="12"/>
    </row>
    <row r="52" spans="2:33" ht="15.75" thickBot="1" x14ac:dyDescent="0.3">
      <c r="B52" s="34"/>
      <c r="C52" s="95"/>
      <c r="D52" s="92" t="s">
        <v>13</v>
      </c>
      <c r="E52" s="92">
        <v>0</v>
      </c>
      <c r="F52" s="91"/>
      <c r="G52" s="36"/>
      <c r="H52" s="68">
        <v>460</v>
      </c>
      <c r="I52">
        <v>0</v>
      </c>
      <c r="T52" s="12"/>
      <c r="W52" s="16"/>
      <c r="X52" s="17"/>
      <c r="Y52" s="17"/>
      <c r="Z52" s="17"/>
      <c r="AA52" s="17"/>
      <c r="AB52" s="17"/>
      <c r="AC52" s="17"/>
      <c r="AD52" s="17"/>
      <c r="AE52" s="17"/>
      <c r="AF52" s="17"/>
      <c r="AG52" s="18"/>
    </row>
    <row r="53" spans="2:33" x14ac:dyDescent="0.25">
      <c r="B53" s="34"/>
      <c r="C53" s="95"/>
      <c r="D53" s="95"/>
      <c r="E53" s="90"/>
      <c r="F53" s="91"/>
      <c r="G53" s="36"/>
      <c r="H53" s="68">
        <v>480</v>
      </c>
      <c r="I53">
        <v>1</v>
      </c>
      <c r="T53" s="12"/>
    </row>
    <row r="54" spans="2:33" x14ac:dyDescent="0.25">
      <c r="B54" s="34"/>
      <c r="C54" s="95"/>
      <c r="D54" s="95"/>
      <c r="E54" s="90"/>
      <c r="F54" s="91"/>
      <c r="G54" s="36"/>
      <c r="H54" s="68">
        <v>500</v>
      </c>
      <c r="I54">
        <v>0</v>
      </c>
      <c r="T54" s="12"/>
    </row>
    <row r="55" spans="2:33" x14ac:dyDescent="0.25">
      <c r="B55" s="34"/>
      <c r="C55" s="95"/>
      <c r="D55" s="95"/>
      <c r="E55" s="90"/>
      <c r="F55" s="91"/>
      <c r="G55" s="36"/>
      <c r="H55" s="68">
        <v>520</v>
      </c>
      <c r="I55">
        <v>0</v>
      </c>
      <c r="T55" s="12"/>
    </row>
    <row r="56" spans="2:33" x14ac:dyDescent="0.25">
      <c r="B56" s="34"/>
      <c r="C56" s="95"/>
      <c r="D56" s="95"/>
      <c r="E56" s="90"/>
      <c r="F56" s="91"/>
      <c r="G56" s="36"/>
      <c r="H56" s="68">
        <v>540</v>
      </c>
      <c r="I56">
        <v>1</v>
      </c>
      <c r="T56" s="12"/>
    </row>
    <row r="57" spans="2:33" x14ac:dyDescent="0.25">
      <c r="B57" s="34"/>
      <c r="C57" s="95"/>
      <c r="D57" s="95"/>
      <c r="E57" s="91"/>
      <c r="F57" s="91"/>
      <c r="G57" s="36"/>
      <c r="H57" s="68">
        <v>560</v>
      </c>
      <c r="I57">
        <v>0</v>
      </c>
      <c r="T57" s="12"/>
    </row>
    <row r="58" spans="2:33" x14ac:dyDescent="0.25">
      <c r="B58" s="34"/>
      <c r="C58" s="95"/>
      <c r="D58" s="95"/>
      <c r="E58" s="68"/>
      <c r="F58" s="68"/>
      <c r="G58" s="36"/>
      <c r="H58" s="68">
        <v>580</v>
      </c>
      <c r="I58">
        <v>0</v>
      </c>
      <c r="T58" s="12"/>
    </row>
    <row r="59" spans="2:33" x14ac:dyDescent="0.25">
      <c r="B59" s="34"/>
      <c r="C59" s="95"/>
      <c r="D59" s="68"/>
      <c r="E59" s="68"/>
      <c r="F59" s="68"/>
      <c r="G59" s="36"/>
      <c r="H59" s="68">
        <v>600</v>
      </c>
      <c r="I59">
        <v>0</v>
      </c>
      <c r="T59" s="12"/>
    </row>
    <row r="60" spans="2:33" x14ac:dyDescent="0.25">
      <c r="B60" s="34"/>
      <c r="C60" s="95"/>
      <c r="D60" s="68"/>
      <c r="E60" s="68"/>
      <c r="F60" s="68"/>
      <c r="G60" s="36"/>
      <c r="H60" s="68">
        <v>620</v>
      </c>
      <c r="I60">
        <v>1</v>
      </c>
      <c r="T60" s="12"/>
    </row>
    <row r="61" spans="2:33" x14ac:dyDescent="0.25">
      <c r="B61" s="34"/>
      <c r="C61" s="95"/>
      <c r="D61" s="68"/>
      <c r="E61" s="68"/>
      <c r="F61" s="68"/>
      <c r="G61" s="36"/>
      <c r="H61" s="17" t="s">
        <v>13</v>
      </c>
      <c r="I61" s="17">
        <v>0</v>
      </c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8"/>
    </row>
    <row r="62" spans="2:33" x14ac:dyDescent="0.25">
      <c r="B62" s="34"/>
      <c r="C62" s="95"/>
      <c r="D62" s="68"/>
      <c r="E62" s="68"/>
      <c r="F62" s="68"/>
      <c r="G62" s="36"/>
      <c r="R62">
        <v>240</v>
      </c>
    </row>
    <row r="63" spans="2:33" ht="15.75" thickBot="1" x14ac:dyDescent="0.3">
      <c r="B63" s="34"/>
      <c r="C63" s="95"/>
      <c r="D63" s="68"/>
      <c r="E63" s="68"/>
      <c r="F63" s="68"/>
      <c r="G63" s="36"/>
      <c r="R63">
        <v>340</v>
      </c>
    </row>
    <row r="64" spans="2:33" x14ac:dyDescent="0.25">
      <c r="B64" s="34"/>
      <c r="C64" s="95"/>
      <c r="D64" s="68"/>
      <c r="E64" s="68"/>
      <c r="F64" s="68"/>
      <c r="G64" s="68"/>
      <c r="H64" s="31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3"/>
    </row>
    <row r="65" spans="2:31" x14ac:dyDescent="0.25">
      <c r="B65" s="34"/>
      <c r="C65" s="95"/>
      <c r="D65" s="68"/>
      <c r="E65" s="68"/>
      <c r="F65" s="68"/>
      <c r="G65" s="68"/>
      <c r="H65" s="34"/>
      <c r="I65" s="68" t="s">
        <v>14</v>
      </c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36"/>
      <c r="V65" s="68"/>
      <c r="W65" s="68"/>
      <c r="X65" s="68"/>
      <c r="Y65" s="68"/>
    </row>
    <row r="66" spans="2:31" ht="15.75" thickBot="1" x14ac:dyDescent="0.3">
      <c r="B66" s="34"/>
      <c r="C66" s="95"/>
      <c r="D66" s="68"/>
      <c r="E66" s="68"/>
      <c r="F66" s="68"/>
      <c r="G66" s="68"/>
      <c r="H66" s="34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36"/>
      <c r="V66" s="68"/>
      <c r="W66" s="68"/>
      <c r="X66" s="68"/>
      <c r="Y66" s="68"/>
    </row>
    <row r="67" spans="2:31" x14ac:dyDescent="0.25">
      <c r="B67" s="34"/>
      <c r="C67" s="95"/>
      <c r="D67" s="68"/>
      <c r="E67" s="68"/>
      <c r="F67" s="68"/>
      <c r="G67" s="68"/>
      <c r="H67" s="34"/>
      <c r="I67" s="98" t="s">
        <v>15</v>
      </c>
      <c r="J67" s="19" t="s">
        <v>15</v>
      </c>
      <c r="K67" s="270">
        <f>AVERAGE(market)</f>
        <v>313.75277777777774</v>
      </c>
      <c r="L67" s="68"/>
      <c r="M67" s="68"/>
      <c r="N67" s="68"/>
      <c r="O67" s="68"/>
      <c r="P67" s="68"/>
      <c r="Q67" s="68"/>
      <c r="R67" s="68"/>
      <c r="S67" s="68"/>
      <c r="T67" s="68"/>
      <c r="U67" s="36"/>
      <c r="V67" s="68"/>
      <c r="W67" s="68"/>
      <c r="X67" s="68"/>
      <c r="Y67" s="68"/>
    </row>
    <row r="68" spans="2:31" x14ac:dyDescent="0.25">
      <c r="B68" s="34"/>
      <c r="C68" s="95"/>
      <c r="D68" s="68"/>
      <c r="E68" s="68"/>
      <c r="F68" s="68"/>
      <c r="G68" s="68"/>
      <c r="H68" s="34"/>
      <c r="I68" s="99" t="s">
        <v>16</v>
      </c>
      <c r="J68" s="21" t="s">
        <v>16</v>
      </c>
      <c r="K68" s="22">
        <f>STDEV(market)</f>
        <v>125.08200828941166</v>
      </c>
      <c r="L68" s="68"/>
      <c r="M68" s="68"/>
      <c r="N68" s="68"/>
      <c r="O68" s="68"/>
      <c r="P68" s="68"/>
      <c r="Q68" s="68"/>
      <c r="R68" s="68"/>
      <c r="S68" s="68"/>
      <c r="T68" s="68"/>
      <c r="U68" s="269"/>
      <c r="V68" s="96"/>
      <c r="W68" s="96"/>
      <c r="X68" s="68"/>
      <c r="Y68" s="68"/>
    </row>
    <row r="69" spans="2:31" ht="18" x14ac:dyDescent="0.35">
      <c r="B69" s="34"/>
      <c r="C69" s="95"/>
      <c r="D69" s="68"/>
      <c r="E69" s="68"/>
      <c r="F69" s="68"/>
      <c r="G69" s="68"/>
      <c r="H69" s="34"/>
      <c r="I69" s="99" t="s">
        <v>17</v>
      </c>
      <c r="J69" s="21" t="s">
        <v>17</v>
      </c>
      <c r="K69" s="24">
        <v>240</v>
      </c>
      <c r="L69" s="68"/>
      <c r="M69" s="68"/>
      <c r="N69" s="68"/>
      <c r="O69" s="68"/>
      <c r="P69" s="68"/>
      <c r="Q69" s="68"/>
      <c r="R69" s="68"/>
      <c r="S69" s="68"/>
      <c r="T69" s="68"/>
      <c r="U69" s="36"/>
      <c r="V69" s="68"/>
      <c r="W69" s="68"/>
      <c r="X69" s="68"/>
      <c r="Y69" s="68"/>
    </row>
    <row r="70" spans="2:31" ht="18" x14ac:dyDescent="0.35">
      <c r="B70" s="34"/>
      <c r="C70" s="259"/>
      <c r="D70" s="68"/>
      <c r="E70" s="68"/>
      <c r="F70" s="68"/>
      <c r="G70" s="68"/>
      <c r="H70" s="34"/>
      <c r="I70" s="99" t="s">
        <v>18</v>
      </c>
      <c r="J70" s="21" t="s">
        <v>18</v>
      </c>
      <c r="K70" s="24">
        <v>340</v>
      </c>
      <c r="L70" s="68"/>
      <c r="M70" s="68"/>
      <c r="N70" s="68"/>
      <c r="O70" s="68"/>
      <c r="P70" s="68"/>
      <c r="Q70" s="68"/>
      <c r="R70" s="68"/>
      <c r="S70" s="68"/>
      <c r="T70" s="68"/>
      <c r="U70" s="36"/>
      <c r="V70" s="68"/>
      <c r="W70" s="68"/>
      <c r="X70" s="68"/>
      <c r="Y70" s="68"/>
    </row>
    <row r="71" spans="2:31" ht="18.75" thickBot="1" x14ac:dyDescent="0.4">
      <c r="B71" s="40"/>
      <c r="C71" s="260"/>
      <c r="D71" s="15"/>
      <c r="E71" s="15"/>
      <c r="F71" s="15"/>
      <c r="G71" s="15"/>
      <c r="H71" s="34"/>
      <c r="I71" s="99" t="s">
        <v>19</v>
      </c>
      <c r="J71" s="21" t="s">
        <v>19</v>
      </c>
      <c r="K71" s="22">
        <f>(K69-K67)/K68</f>
        <v>-0.58963538230958346</v>
      </c>
      <c r="L71" s="68"/>
      <c r="M71" s="68"/>
      <c r="N71" s="68"/>
      <c r="O71" s="68"/>
      <c r="P71" s="68"/>
      <c r="Q71" s="68"/>
      <c r="R71" s="68"/>
      <c r="S71" s="68"/>
      <c r="T71" s="68"/>
      <c r="U71" s="36"/>
      <c r="V71" s="68"/>
      <c r="W71" s="68"/>
      <c r="X71" s="68"/>
      <c r="Y71" s="68"/>
    </row>
    <row r="72" spans="2:31" ht="18" x14ac:dyDescent="0.35">
      <c r="C72" s="89"/>
      <c r="H72" s="34"/>
      <c r="I72" s="99" t="s">
        <v>20</v>
      </c>
      <c r="J72" s="21" t="s">
        <v>20</v>
      </c>
      <c r="K72" s="22">
        <f>(K70-K67)/K68</f>
        <v>0.2098401087508292</v>
      </c>
      <c r="L72" s="68"/>
      <c r="M72" s="68"/>
      <c r="N72" s="68"/>
      <c r="O72" s="68"/>
      <c r="P72" s="68"/>
      <c r="Q72" s="68"/>
      <c r="R72" s="68"/>
      <c r="S72" s="68"/>
      <c r="T72" s="68"/>
      <c r="U72" s="36"/>
      <c r="V72" s="68"/>
      <c r="W72" s="68"/>
      <c r="X72" s="68"/>
      <c r="Y72" s="68"/>
    </row>
    <row r="73" spans="2:31" ht="18" x14ac:dyDescent="0.35">
      <c r="C73" s="89"/>
      <c r="H73" s="34"/>
      <c r="I73" s="100" t="s">
        <v>21</v>
      </c>
      <c r="J73" s="21" t="s">
        <v>21</v>
      </c>
      <c r="K73" s="25">
        <f>NORMSDIST(K71)</f>
        <v>0.27771756256104901</v>
      </c>
      <c r="L73" s="68"/>
      <c r="M73" s="68"/>
      <c r="N73" s="68"/>
      <c r="O73" s="68"/>
      <c r="P73" s="68"/>
      <c r="Q73" s="68"/>
      <c r="R73" s="68"/>
      <c r="S73" s="68"/>
      <c r="T73" s="68"/>
      <c r="U73" s="36"/>
      <c r="V73" s="68"/>
      <c r="W73" s="68"/>
      <c r="X73" s="68"/>
      <c r="Y73" s="68"/>
      <c r="AD73" s="14"/>
      <c r="AE73" s="14"/>
    </row>
    <row r="74" spans="2:31" ht="18" x14ac:dyDescent="0.35">
      <c r="H74" s="34"/>
      <c r="I74" s="100" t="s">
        <v>22</v>
      </c>
      <c r="J74" s="21" t="s">
        <v>22</v>
      </c>
      <c r="K74" s="25">
        <f>1-NORMSDIST(K72)</f>
        <v>0.41689623382613172</v>
      </c>
      <c r="L74" s="68"/>
      <c r="M74" s="68"/>
      <c r="N74" s="68"/>
      <c r="O74" s="68"/>
      <c r="P74" s="68"/>
      <c r="Q74" s="68"/>
      <c r="R74" s="68"/>
      <c r="S74" s="68"/>
      <c r="T74" s="68"/>
      <c r="U74" s="36"/>
      <c r="V74" s="68"/>
      <c r="W74" s="68"/>
      <c r="X74" s="68"/>
      <c r="Y74" s="68"/>
    </row>
    <row r="75" spans="2:31" ht="15.75" thickBot="1" x14ac:dyDescent="0.3">
      <c r="H75" s="34"/>
      <c r="I75" s="101" t="s">
        <v>23</v>
      </c>
      <c r="J75" s="26" t="s">
        <v>23</v>
      </c>
      <c r="K75" s="27">
        <f>NORMSDIST(IF(K71&gt;K72,K71,K72))-NORMSDIST(IF(K71&gt;K72,K72,K71))</f>
        <v>0.30538620361281926</v>
      </c>
      <c r="L75" s="68"/>
      <c r="M75" s="68"/>
      <c r="N75" s="68"/>
      <c r="O75" s="68"/>
      <c r="P75" s="68"/>
      <c r="Q75" s="68"/>
      <c r="R75" s="68"/>
      <c r="S75" s="68"/>
      <c r="T75" s="68"/>
      <c r="U75" s="36"/>
      <c r="V75" s="68"/>
      <c r="W75" s="68"/>
      <c r="X75" s="68"/>
      <c r="Y75" s="68"/>
    </row>
    <row r="76" spans="2:31" x14ac:dyDescent="0.25">
      <c r="H76" s="34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36"/>
      <c r="V76" s="68"/>
      <c r="W76" s="68"/>
      <c r="X76" s="68"/>
      <c r="Y76" s="68"/>
    </row>
    <row r="77" spans="2:31" x14ac:dyDescent="0.25">
      <c r="H77" s="34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36"/>
      <c r="V77" s="68"/>
      <c r="W77" s="68"/>
      <c r="X77" s="68"/>
      <c r="Y77" s="68"/>
    </row>
    <row r="78" spans="2:31" x14ac:dyDescent="0.25">
      <c r="H78" s="34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36"/>
      <c r="V78" s="68"/>
      <c r="W78" s="68"/>
      <c r="X78" s="68"/>
      <c r="Y78" s="68"/>
    </row>
    <row r="79" spans="2:31" x14ac:dyDescent="0.25">
      <c r="H79" s="34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36"/>
      <c r="V79" s="68"/>
      <c r="W79" s="68"/>
      <c r="X79" s="68"/>
      <c r="Y79" s="68"/>
    </row>
    <row r="80" spans="2:31" x14ac:dyDescent="0.25">
      <c r="H80" s="34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36"/>
      <c r="V80" s="68"/>
      <c r="W80" s="68"/>
      <c r="X80" s="68"/>
      <c r="Y80" s="68"/>
    </row>
    <row r="81" spans="4:43" x14ac:dyDescent="0.25">
      <c r="H81" s="34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36"/>
      <c r="V81" s="68"/>
      <c r="W81" s="68"/>
      <c r="X81" s="68"/>
      <c r="Y81" s="68"/>
    </row>
    <row r="82" spans="4:43" ht="15.75" thickBot="1" x14ac:dyDescent="0.3">
      <c r="H82" s="40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37"/>
      <c r="V82" s="68"/>
      <c r="W82" s="68"/>
      <c r="X82" s="68"/>
      <c r="Y82" s="68"/>
    </row>
    <row r="83" spans="4:43" x14ac:dyDescent="0.25">
      <c r="D83" s="14"/>
      <c r="E83" s="14"/>
      <c r="U83" s="68"/>
      <c r="V83" s="68"/>
      <c r="W83" s="68"/>
      <c r="X83" s="68"/>
      <c r="Y83" s="68"/>
    </row>
    <row r="84" spans="4:43" x14ac:dyDescent="0.25">
      <c r="U84" s="68"/>
      <c r="V84" s="68"/>
      <c r="W84" s="68"/>
      <c r="X84" s="68"/>
      <c r="Y84" s="68"/>
    </row>
    <row r="85" spans="4:43" x14ac:dyDescent="0.25">
      <c r="U85" s="68"/>
      <c r="V85" s="68"/>
      <c r="W85" s="68"/>
      <c r="X85" s="68"/>
      <c r="Y85" s="68"/>
    </row>
    <row r="86" spans="4:43" x14ac:dyDescent="0.25">
      <c r="U86" s="68"/>
      <c r="V86" s="68"/>
      <c r="W86" s="68"/>
      <c r="X86" s="68"/>
      <c r="Y86" s="68"/>
    </row>
    <row r="87" spans="4:43" x14ac:dyDescent="0.25">
      <c r="U87" s="68"/>
      <c r="V87" s="68"/>
      <c r="W87" s="68"/>
      <c r="X87" s="68"/>
      <c r="Y87" s="68"/>
    </row>
    <row r="88" spans="4:43" x14ac:dyDescent="0.25">
      <c r="U88" s="68"/>
      <c r="V88" s="68"/>
      <c r="W88" s="68"/>
      <c r="X88" s="68"/>
      <c r="Y88" s="68"/>
    </row>
    <row r="89" spans="4:43" x14ac:dyDescent="0.25">
      <c r="U89" s="68"/>
      <c r="V89" s="68"/>
      <c r="W89" s="68"/>
      <c r="X89" s="68"/>
      <c r="Y89" s="68"/>
    </row>
    <row r="90" spans="4:43" x14ac:dyDescent="0.25">
      <c r="U90" s="68"/>
      <c r="V90" s="68"/>
      <c r="W90" s="68"/>
      <c r="X90" s="68"/>
      <c r="Y90" s="68"/>
    </row>
    <row r="91" spans="4:43" x14ac:dyDescent="0.25">
      <c r="U91" s="68"/>
      <c r="V91" s="68"/>
      <c r="W91" s="68"/>
      <c r="X91" s="68"/>
      <c r="Y91" s="68"/>
    </row>
    <row r="92" spans="4:43" ht="15.75" thickBot="1" x14ac:dyDescent="0.3">
      <c r="U92" s="68"/>
      <c r="V92" s="68"/>
      <c r="W92" s="68"/>
      <c r="X92" s="68"/>
      <c r="Y92" s="68"/>
    </row>
    <row r="93" spans="4:43" x14ac:dyDescent="0.25">
      <c r="U93" s="31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J93" s="32"/>
      <c r="AK93" s="32"/>
      <c r="AL93" s="32"/>
      <c r="AM93" s="32"/>
      <c r="AN93" s="32"/>
      <c r="AO93" s="32"/>
      <c r="AP93" s="32"/>
      <c r="AQ93" s="33"/>
    </row>
    <row r="94" spans="4:43" x14ac:dyDescent="0.25">
      <c r="U94" s="34"/>
      <c r="V94" s="68"/>
      <c r="W94" s="68"/>
      <c r="X94" s="68"/>
      <c r="Y94" s="68"/>
      <c r="Z94" s="197" t="s">
        <v>133</v>
      </c>
      <c r="AA94" s="68"/>
      <c r="AB94" s="68"/>
      <c r="AC94" s="68"/>
      <c r="AD94" s="68"/>
      <c r="AE94" s="68"/>
      <c r="AF94" s="68"/>
      <c r="AG94" s="68"/>
      <c r="AH94" s="68"/>
      <c r="AI94" s="68"/>
      <c r="AJ94" s="68"/>
      <c r="AK94" s="68"/>
      <c r="AL94" s="68"/>
      <c r="AM94" s="68"/>
      <c r="AN94" s="68"/>
      <c r="AO94" s="68"/>
      <c r="AP94" s="68"/>
      <c r="AQ94" s="36"/>
    </row>
    <row r="95" spans="4:43" x14ac:dyDescent="0.25">
      <c r="U95" s="34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8"/>
      <c r="AL95" s="68"/>
      <c r="AM95" s="68"/>
      <c r="AN95" s="68"/>
      <c r="AO95" s="68"/>
      <c r="AP95" s="68"/>
      <c r="AQ95" s="36"/>
    </row>
    <row r="96" spans="4:43" x14ac:dyDescent="0.25">
      <c r="U96" s="34"/>
      <c r="V96" s="68"/>
      <c r="W96" s="68"/>
      <c r="X96" s="68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  <c r="AJ96" s="68"/>
      <c r="AK96" s="68"/>
      <c r="AL96" s="68"/>
      <c r="AM96" s="68"/>
      <c r="AN96" s="68"/>
      <c r="AO96" s="68"/>
      <c r="AP96" s="68"/>
      <c r="AQ96" s="36"/>
    </row>
    <row r="97" spans="9:43" x14ac:dyDescent="0.25">
      <c r="P97" s="28"/>
      <c r="Q97" s="28"/>
      <c r="R97" s="28"/>
      <c r="S97" s="28"/>
      <c r="T97" s="28"/>
      <c r="U97" s="78"/>
      <c r="V97" s="68"/>
      <c r="W97" s="68"/>
      <c r="X97" s="68"/>
      <c r="Y97" s="68"/>
      <c r="Z97" s="68"/>
      <c r="AA97" s="68"/>
      <c r="AB97" s="68"/>
      <c r="AC97" s="68"/>
      <c r="AD97" s="68"/>
      <c r="AE97" s="68"/>
      <c r="AF97" s="68"/>
      <c r="AG97" s="68"/>
      <c r="AH97" s="68"/>
      <c r="AI97" s="68"/>
      <c r="AJ97" s="68"/>
      <c r="AK97" s="68"/>
      <c r="AL97" s="68"/>
      <c r="AM97" s="68"/>
      <c r="AN97" s="68"/>
      <c r="AO97" s="68"/>
      <c r="AP97" s="68"/>
      <c r="AQ97" s="36"/>
    </row>
    <row r="98" spans="9:43" x14ac:dyDescent="0.25">
      <c r="P98" s="28"/>
      <c r="Q98" s="29"/>
      <c r="R98" s="28"/>
      <c r="S98" s="28"/>
      <c r="T98" s="28"/>
      <c r="U98" s="78"/>
      <c r="V98" s="104"/>
      <c r="W98" s="104"/>
      <c r="X98" s="104"/>
      <c r="Y98" s="104" t="s">
        <v>24</v>
      </c>
      <c r="Z98" s="104"/>
      <c r="AA98" s="104"/>
      <c r="AB98" s="104"/>
      <c r="AC98" s="104"/>
      <c r="AD98" s="68"/>
      <c r="AE98" s="68"/>
      <c r="AF98" s="68"/>
      <c r="AG98" s="68"/>
      <c r="AH98" s="68"/>
      <c r="AI98" s="68"/>
      <c r="AJ98" s="68"/>
      <c r="AK98" s="68"/>
      <c r="AL98" s="68"/>
      <c r="AM98" s="68"/>
      <c r="AN98" s="68"/>
      <c r="AO98" s="68"/>
      <c r="AP98" s="68"/>
      <c r="AQ98" s="36"/>
    </row>
    <row r="99" spans="9:43" x14ac:dyDescent="0.25">
      <c r="P99" s="28"/>
      <c r="Q99" s="28"/>
      <c r="R99" s="30"/>
      <c r="S99" s="30"/>
      <c r="T99" s="30"/>
      <c r="U99" s="108"/>
      <c r="V99" s="104"/>
      <c r="W99" s="103">
        <f>K75</f>
        <v>0.30538620361281926</v>
      </c>
      <c r="X99" s="104">
        <v>320</v>
      </c>
      <c r="Y99" s="104">
        <v>330</v>
      </c>
      <c r="Z99" s="104">
        <v>340</v>
      </c>
      <c r="AA99" s="104">
        <v>350</v>
      </c>
      <c r="AB99" s="104">
        <v>360</v>
      </c>
      <c r="AC99" s="104">
        <v>370</v>
      </c>
      <c r="AD99" s="68"/>
      <c r="AE99" s="68"/>
      <c r="AF99" s="68"/>
      <c r="AG99" s="68"/>
      <c r="AH99" s="68"/>
      <c r="AI99" s="68"/>
      <c r="AJ99" s="68"/>
      <c r="AK99" s="68"/>
      <c r="AL99" s="68"/>
      <c r="AM99" s="68"/>
      <c r="AN99" s="68"/>
      <c r="AO99" s="68"/>
      <c r="AP99" s="68"/>
      <c r="AQ99" s="36"/>
    </row>
    <row r="100" spans="9:43" ht="15.75" thickBot="1" x14ac:dyDescent="0.3">
      <c r="P100" s="28"/>
      <c r="Q100" s="28"/>
      <c r="R100" s="30"/>
      <c r="S100" s="30"/>
      <c r="T100" s="30"/>
      <c r="U100" s="108"/>
      <c r="V100" s="104"/>
      <c r="W100" s="104">
        <v>220</v>
      </c>
      <c r="X100" s="66">
        <v>0.29314812843295024</v>
      </c>
      <c r="Y100" s="66">
        <v>0.3249055173605564</v>
      </c>
      <c r="Z100" s="66">
        <v>0.35633499901473153</v>
      </c>
      <c r="AA100" s="66">
        <v>0.38724188757573264</v>
      </c>
      <c r="AB100" s="199">
        <v>0.41744133460901178</v>
      </c>
      <c r="AC100" s="199">
        <v>0.44676162939958008</v>
      </c>
      <c r="AD100" s="68"/>
      <c r="AE100" s="68"/>
      <c r="AF100" s="68"/>
      <c r="AG100" s="68"/>
      <c r="AH100" s="68"/>
      <c r="AI100" s="68"/>
      <c r="AJ100" s="68"/>
      <c r="AK100" s="68"/>
      <c r="AL100" s="68"/>
      <c r="AM100" s="68"/>
      <c r="AN100" s="68"/>
      <c r="AO100" s="68"/>
      <c r="AP100" s="68"/>
      <c r="AQ100" s="36"/>
    </row>
    <row r="101" spans="9:43" x14ac:dyDescent="0.25">
      <c r="I101" s="31"/>
      <c r="J101" s="32"/>
      <c r="K101" s="32"/>
      <c r="L101" s="32"/>
      <c r="M101" s="32"/>
      <c r="N101" s="32"/>
      <c r="O101" s="32"/>
      <c r="P101" s="73"/>
      <c r="Q101" s="73"/>
      <c r="R101" s="74"/>
      <c r="S101" s="30"/>
      <c r="T101" s="30"/>
      <c r="U101" s="108"/>
      <c r="V101" s="104"/>
      <c r="W101" s="104">
        <v>230</v>
      </c>
      <c r="X101" s="66">
        <v>0.2683550466783261</v>
      </c>
      <c r="Y101" s="66">
        <v>0.30011243560593226</v>
      </c>
      <c r="Z101" s="66">
        <v>0.3315419172601074</v>
      </c>
      <c r="AA101" s="66">
        <v>0.3624488058211085</v>
      </c>
      <c r="AB101" s="66">
        <v>0.39264825285438765</v>
      </c>
      <c r="AC101" s="199">
        <v>0.42196854764495595</v>
      </c>
      <c r="AD101" s="68"/>
      <c r="AE101" s="68" t="s">
        <v>9</v>
      </c>
      <c r="AF101" s="106">
        <f>MIN(X100:AC107)</f>
        <v>9.5222223415864393E-2</v>
      </c>
      <c r="AG101" s="68"/>
      <c r="AH101" s="68"/>
      <c r="AI101" s="68"/>
      <c r="AJ101" s="68"/>
      <c r="AK101" s="68"/>
      <c r="AL101" s="68"/>
      <c r="AM101" s="68"/>
      <c r="AN101" s="68"/>
      <c r="AO101" s="68"/>
      <c r="AP101" s="68"/>
      <c r="AQ101" s="36"/>
    </row>
    <row r="102" spans="9:43" x14ac:dyDescent="0.25">
      <c r="I102" s="34"/>
      <c r="J102" s="68"/>
      <c r="K102" s="68"/>
      <c r="L102" s="68"/>
      <c r="M102" s="68"/>
      <c r="N102" s="68"/>
      <c r="O102" s="68"/>
      <c r="P102" s="69"/>
      <c r="Q102" s="69"/>
      <c r="R102" s="75"/>
      <c r="S102" s="30"/>
      <c r="T102" s="30"/>
      <c r="U102" s="108"/>
      <c r="V102" s="104"/>
      <c r="W102" s="104">
        <v>240</v>
      </c>
      <c r="X102" s="66">
        <v>0.24219933303103797</v>
      </c>
      <c r="Y102" s="66">
        <v>0.27395672195864412</v>
      </c>
      <c r="Z102" s="105">
        <v>0.30538620361281926</v>
      </c>
      <c r="AA102" s="66">
        <v>0.33629309217382036</v>
      </c>
      <c r="AB102" s="66">
        <v>0.36649253920709951</v>
      </c>
      <c r="AC102" s="199">
        <v>0.39581283399766781</v>
      </c>
      <c r="AD102" s="68"/>
      <c r="AE102" s="68" t="s">
        <v>10</v>
      </c>
      <c r="AF102" s="106">
        <f>MAX(X100:AC107)</f>
        <v>0.44676162939958008</v>
      </c>
      <c r="AG102" s="68"/>
      <c r="AH102" s="68"/>
      <c r="AI102" s="68"/>
      <c r="AJ102" s="68"/>
      <c r="AK102" s="68"/>
      <c r="AL102" s="68"/>
      <c r="AM102" s="68"/>
      <c r="AN102" s="68"/>
      <c r="AO102" s="68"/>
      <c r="AP102" s="68"/>
      <c r="AQ102" s="36"/>
    </row>
    <row r="103" spans="9:43" x14ac:dyDescent="0.25">
      <c r="I103" s="34"/>
      <c r="J103" s="68"/>
      <c r="K103" s="68"/>
      <c r="L103" s="68"/>
      <c r="M103" s="68"/>
      <c r="N103" s="197" t="s">
        <v>130</v>
      </c>
      <c r="O103" s="68"/>
      <c r="P103" s="69"/>
      <c r="Q103" s="69"/>
      <c r="R103" s="75"/>
      <c r="S103" s="30"/>
      <c r="T103" s="30"/>
      <c r="U103" s="108"/>
      <c r="V103" s="104" t="s">
        <v>25</v>
      </c>
      <c r="W103" s="104">
        <v>250</v>
      </c>
      <c r="X103" s="66">
        <v>0.21478180649782064</v>
      </c>
      <c r="Y103" s="66">
        <v>0.24653919542542679</v>
      </c>
      <c r="Z103" s="66">
        <v>0.27796867707960193</v>
      </c>
      <c r="AA103" s="66">
        <v>0.30887556564060303</v>
      </c>
      <c r="AB103" s="66">
        <v>0.33907501267388218</v>
      </c>
      <c r="AC103" s="66">
        <v>0.36839530746445048</v>
      </c>
      <c r="AD103" s="68"/>
      <c r="AE103" s="68"/>
      <c r="AF103" s="68"/>
      <c r="AG103" s="68"/>
      <c r="AH103" s="68"/>
      <c r="AI103" s="68"/>
      <c r="AJ103" s="68"/>
      <c r="AK103" s="68"/>
      <c r="AL103" s="68"/>
      <c r="AM103" s="68"/>
      <c r="AN103" s="68"/>
      <c r="AO103" s="68"/>
      <c r="AP103" s="68"/>
      <c r="AQ103" s="36"/>
    </row>
    <row r="104" spans="9:43" x14ac:dyDescent="0.25">
      <c r="I104" s="34"/>
      <c r="J104" s="68"/>
      <c r="K104" s="68"/>
      <c r="L104" s="68"/>
      <c r="M104" s="68"/>
      <c r="N104" s="68"/>
      <c r="O104" s="68"/>
      <c r="P104" s="69"/>
      <c r="Q104" s="69"/>
      <c r="R104" s="75"/>
      <c r="S104" s="30"/>
      <c r="T104" s="30"/>
      <c r="U104" s="108"/>
      <c r="V104" s="104"/>
      <c r="W104" s="104">
        <v>260</v>
      </c>
      <c r="X104" s="66">
        <v>0.18622460751685532</v>
      </c>
      <c r="Y104" s="66">
        <v>0.21798199644446148</v>
      </c>
      <c r="Z104" s="66">
        <v>0.24941147809863662</v>
      </c>
      <c r="AA104" s="66">
        <v>0.28031836665963772</v>
      </c>
      <c r="AB104" s="66">
        <v>0.31051781369291687</v>
      </c>
      <c r="AC104" s="66">
        <v>0.33983810848348517</v>
      </c>
      <c r="AD104" s="68"/>
      <c r="AE104" s="68"/>
      <c r="AF104" s="68"/>
      <c r="AG104" s="68"/>
      <c r="AH104" s="68"/>
      <c r="AI104" s="68"/>
      <c r="AJ104" s="68"/>
      <c r="AK104" s="68"/>
      <c r="AL104" s="68"/>
      <c r="AM104" s="68"/>
      <c r="AN104" s="68"/>
      <c r="AO104" s="68"/>
      <c r="AP104" s="68"/>
      <c r="AQ104" s="36"/>
    </row>
    <row r="105" spans="9:43" x14ac:dyDescent="0.25">
      <c r="I105" s="34"/>
      <c r="J105" s="68"/>
      <c r="K105" s="68"/>
      <c r="L105" s="68"/>
      <c r="M105" s="68"/>
      <c r="N105" s="68"/>
      <c r="O105" s="68"/>
      <c r="P105" s="69"/>
      <c r="Q105" s="69"/>
      <c r="R105" s="75"/>
      <c r="S105" s="30"/>
      <c r="T105" s="30"/>
      <c r="U105" s="108"/>
      <c r="V105" s="104"/>
      <c r="W105" s="104">
        <v>270</v>
      </c>
      <c r="X105" s="66">
        <v>0.15666976975350927</v>
      </c>
      <c r="Y105" s="66">
        <v>0.18842715868111543</v>
      </c>
      <c r="Z105" s="66">
        <v>0.21985664033529057</v>
      </c>
      <c r="AA105" s="66">
        <v>0.25076352889629167</v>
      </c>
      <c r="AB105" s="66">
        <v>0.28096297592957081</v>
      </c>
      <c r="AC105" s="66">
        <v>0.31028327072013911</v>
      </c>
      <c r="AD105" s="68"/>
      <c r="AE105" s="68"/>
      <c r="AF105" s="68"/>
      <c r="AG105" s="68"/>
      <c r="AH105" s="68"/>
      <c r="AI105" s="68"/>
      <c r="AJ105" s="68"/>
      <c r="AK105" s="68"/>
      <c r="AL105" s="68"/>
      <c r="AM105" s="68"/>
      <c r="AN105" s="68"/>
      <c r="AO105" s="68"/>
      <c r="AP105" s="68"/>
      <c r="AQ105" s="36"/>
    </row>
    <row r="106" spans="9:43" x14ac:dyDescent="0.25">
      <c r="I106" s="34"/>
      <c r="J106" s="68"/>
      <c r="K106" s="68"/>
      <c r="L106" s="68"/>
      <c r="M106" s="68"/>
      <c r="N106" s="68"/>
      <c r="O106" s="68"/>
      <c r="P106" s="68"/>
      <c r="Q106" s="68"/>
      <c r="R106" s="36"/>
      <c r="U106" s="108"/>
      <c r="V106" s="104"/>
      <c r="W106" s="104">
        <v>280</v>
      </c>
      <c r="X106" s="66">
        <v>0.12627721633641087</v>
      </c>
      <c r="Y106" s="66">
        <v>0.15803460526401703</v>
      </c>
      <c r="Z106" s="66">
        <v>0.18946408691819216</v>
      </c>
      <c r="AA106" s="66">
        <v>0.22037097547919327</v>
      </c>
      <c r="AB106" s="66">
        <v>0.25057042251247241</v>
      </c>
      <c r="AC106" s="66">
        <v>0.27989071730304071</v>
      </c>
      <c r="AD106" s="68"/>
      <c r="AE106" s="68"/>
      <c r="AF106" s="68"/>
      <c r="AG106" s="68"/>
      <c r="AH106" s="68"/>
      <c r="AI106" s="68"/>
      <c r="AJ106" s="68"/>
      <c r="AK106" s="68"/>
      <c r="AL106" s="68"/>
      <c r="AM106" s="68"/>
      <c r="AN106" s="68"/>
      <c r="AO106" s="68"/>
      <c r="AP106" s="68"/>
      <c r="AQ106" s="36"/>
    </row>
    <row r="107" spans="9:43" x14ac:dyDescent="0.25">
      <c r="I107" s="34"/>
      <c r="J107" s="68"/>
      <c r="K107" s="68"/>
      <c r="L107" s="68"/>
      <c r="M107" s="69" t="s">
        <v>15</v>
      </c>
      <c r="N107" s="70">
        <f>K67</f>
        <v>313.75277777777774</v>
      </c>
      <c r="O107" s="68"/>
      <c r="P107" s="68"/>
      <c r="Q107" s="68"/>
      <c r="R107" s="36"/>
      <c r="U107" s="34"/>
      <c r="V107" s="104"/>
      <c r="W107" s="104">
        <v>290</v>
      </c>
      <c r="X107" s="66">
        <v>9.5222223415864393E-2</v>
      </c>
      <c r="Y107" s="66">
        <v>0.12697961234347055</v>
      </c>
      <c r="Z107" s="66">
        <v>0.15840909399764569</v>
      </c>
      <c r="AA107" s="66">
        <v>0.18931598255864679</v>
      </c>
      <c r="AB107" s="66">
        <v>0.21951542959192594</v>
      </c>
      <c r="AC107" s="66">
        <v>0.24883572438249424</v>
      </c>
      <c r="AD107" s="68"/>
      <c r="AE107" s="67" t="s">
        <v>129</v>
      </c>
      <c r="AF107" s="23" t="s">
        <v>11</v>
      </c>
      <c r="AG107" s="23" t="s">
        <v>12</v>
      </c>
      <c r="AH107" s="68"/>
      <c r="AI107" s="68"/>
      <c r="AJ107" s="68"/>
      <c r="AK107" s="68"/>
      <c r="AL107" s="68"/>
      <c r="AM107" s="68"/>
      <c r="AN107" s="68"/>
      <c r="AO107" s="68"/>
      <c r="AP107" s="68"/>
      <c r="AQ107" s="36"/>
    </row>
    <row r="108" spans="9:43" x14ac:dyDescent="0.25">
      <c r="I108" s="34"/>
      <c r="J108" s="68"/>
      <c r="K108" s="68"/>
      <c r="L108" s="68"/>
      <c r="M108" s="69" t="s">
        <v>16</v>
      </c>
      <c r="N108" s="70">
        <f>K68</f>
        <v>125.08200828941166</v>
      </c>
      <c r="O108" s="68"/>
      <c r="P108" s="68"/>
      <c r="Q108" s="68"/>
      <c r="R108" s="36"/>
      <c r="U108" s="34"/>
      <c r="V108" s="68"/>
      <c r="W108" s="68"/>
      <c r="X108" s="68"/>
      <c r="Y108" s="68"/>
      <c r="Z108" s="68"/>
      <c r="AA108" s="68"/>
      <c r="AB108" s="68"/>
      <c r="AC108" s="68"/>
      <c r="AD108" s="68"/>
      <c r="AE108" s="67">
        <v>0.15</v>
      </c>
      <c r="AF108" s="67">
        <v>0.1</v>
      </c>
      <c r="AG108" s="4">
        <v>1</v>
      </c>
      <c r="AH108" s="68"/>
      <c r="AI108" s="68"/>
      <c r="AJ108" s="68"/>
      <c r="AK108" s="68"/>
      <c r="AL108" s="68"/>
      <c r="AM108" s="68"/>
      <c r="AN108" s="68"/>
      <c r="AO108" s="68"/>
      <c r="AP108" s="68"/>
      <c r="AQ108" s="36"/>
    </row>
    <row r="109" spans="9:43" x14ac:dyDescent="0.25">
      <c r="I109" s="34"/>
      <c r="J109" s="68"/>
      <c r="K109" s="68"/>
      <c r="L109" s="68"/>
      <c r="M109" s="69" t="s">
        <v>71</v>
      </c>
      <c r="N109" s="70">
        <f>COUNT(market)</f>
        <v>18</v>
      </c>
      <c r="O109" s="68"/>
      <c r="P109" s="68"/>
      <c r="Q109" s="68"/>
      <c r="R109" s="36"/>
      <c r="U109" s="34"/>
      <c r="V109" s="68"/>
      <c r="W109" s="68"/>
      <c r="X109" s="68"/>
      <c r="Y109" s="68"/>
      <c r="Z109" s="68"/>
      <c r="AA109" s="68"/>
      <c r="AB109" s="68"/>
      <c r="AC109" s="68"/>
      <c r="AD109" s="68"/>
      <c r="AE109" s="67">
        <v>0.2</v>
      </c>
      <c r="AF109" s="67">
        <v>0.15</v>
      </c>
      <c r="AG109" s="4">
        <v>2</v>
      </c>
      <c r="AH109" s="68"/>
      <c r="AI109" s="68"/>
      <c r="AJ109" s="68"/>
      <c r="AK109" s="68"/>
      <c r="AL109" s="68"/>
      <c r="AM109" s="68"/>
      <c r="AN109" s="68"/>
      <c r="AO109" s="68"/>
      <c r="AP109" s="68"/>
      <c r="AQ109" s="36"/>
    </row>
    <row r="110" spans="9:43" x14ac:dyDescent="0.25">
      <c r="I110" s="34"/>
      <c r="J110" s="68"/>
      <c r="K110" s="68"/>
      <c r="L110" s="68"/>
      <c r="M110" s="69" t="s">
        <v>72</v>
      </c>
      <c r="N110" s="70">
        <f>N109-1</f>
        <v>17</v>
      </c>
      <c r="O110" s="68"/>
      <c r="P110" s="68"/>
      <c r="Q110" s="68"/>
      <c r="R110" s="36"/>
      <c r="U110" s="34"/>
      <c r="V110" s="68"/>
      <c r="W110" s="68"/>
      <c r="X110" s="68"/>
      <c r="Y110" s="68"/>
      <c r="Z110" s="68"/>
      <c r="AA110" s="68"/>
      <c r="AB110" s="68"/>
      <c r="AC110" s="68"/>
      <c r="AD110" s="68"/>
      <c r="AE110" s="67">
        <v>0.25</v>
      </c>
      <c r="AF110" s="67">
        <v>0.2</v>
      </c>
      <c r="AG110" s="4">
        <v>7</v>
      </c>
      <c r="AH110" s="68"/>
      <c r="AI110" s="68"/>
      <c r="AJ110" s="68"/>
      <c r="AK110" s="68"/>
      <c r="AL110" s="68"/>
      <c r="AM110" s="68"/>
      <c r="AN110" s="68"/>
      <c r="AO110" s="68"/>
      <c r="AP110" s="68"/>
      <c r="AQ110" s="36"/>
    </row>
    <row r="111" spans="9:43" ht="15.75" thickBot="1" x14ac:dyDescent="0.3">
      <c r="I111" s="34"/>
      <c r="J111" s="68"/>
      <c r="K111" s="68"/>
      <c r="L111" s="68"/>
      <c r="M111" s="68"/>
      <c r="N111" s="68"/>
      <c r="O111" s="68"/>
      <c r="P111" s="68"/>
      <c r="Q111" s="68"/>
      <c r="R111" s="36"/>
      <c r="U111" s="34"/>
      <c r="V111" s="68"/>
      <c r="W111" s="68"/>
      <c r="X111" s="68"/>
      <c r="Y111" s="68"/>
      <c r="Z111" s="68"/>
      <c r="AA111" s="68"/>
      <c r="AB111" s="68"/>
      <c r="AC111" s="68"/>
      <c r="AD111" s="68"/>
      <c r="AE111" s="67">
        <v>0.3</v>
      </c>
      <c r="AF111" s="67">
        <v>0.25</v>
      </c>
      <c r="AG111" s="4">
        <v>9</v>
      </c>
      <c r="AH111" s="68"/>
      <c r="AI111" s="68"/>
      <c r="AJ111" s="68"/>
      <c r="AK111" s="68"/>
      <c r="AL111" s="68"/>
      <c r="AM111" s="68"/>
      <c r="AN111" s="68"/>
      <c r="AO111" s="68"/>
      <c r="AP111" s="68"/>
      <c r="AQ111" s="36"/>
    </row>
    <row r="112" spans="9:43" x14ac:dyDescent="0.25">
      <c r="I112" s="34"/>
      <c r="J112" s="68"/>
      <c r="K112" s="76" t="s">
        <v>26</v>
      </c>
      <c r="L112" s="77"/>
      <c r="M112" s="68"/>
      <c r="N112" s="68"/>
      <c r="O112" s="85" t="s">
        <v>27</v>
      </c>
      <c r="P112" s="86"/>
      <c r="Q112" s="68"/>
      <c r="R112" s="36"/>
      <c r="U112" s="34"/>
      <c r="V112" s="68"/>
      <c r="W112" s="68"/>
      <c r="X112" s="68"/>
      <c r="Y112" s="68"/>
      <c r="Z112" s="68"/>
      <c r="AA112" s="68"/>
      <c r="AB112" s="68"/>
      <c r="AC112" s="68"/>
      <c r="AD112" s="68"/>
      <c r="AE112" s="67">
        <v>0.35</v>
      </c>
      <c r="AF112" s="67">
        <v>0.3</v>
      </c>
      <c r="AG112" s="4">
        <v>9</v>
      </c>
      <c r="AH112" s="68"/>
      <c r="AI112" s="68"/>
      <c r="AJ112" s="68"/>
      <c r="AK112" s="68"/>
      <c r="AL112" s="68"/>
      <c r="AM112" s="68"/>
      <c r="AN112" s="68"/>
      <c r="AO112" s="68"/>
      <c r="AP112" s="68"/>
      <c r="AQ112" s="36"/>
    </row>
    <row r="113" spans="9:43" x14ac:dyDescent="0.25">
      <c r="I113" s="34"/>
      <c r="J113" s="68"/>
      <c r="K113" s="78" t="s">
        <v>28</v>
      </c>
      <c r="L113" s="79">
        <v>0.9</v>
      </c>
      <c r="M113" s="68"/>
      <c r="N113" s="68"/>
      <c r="O113" s="78" t="s">
        <v>28</v>
      </c>
      <c r="P113" s="79">
        <v>0.95</v>
      </c>
      <c r="Q113" s="68"/>
      <c r="R113" s="36"/>
      <c r="U113" s="34"/>
      <c r="V113" s="68"/>
      <c r="W113" s="68"/>
      <c r="X113" s="68"/>
      <c r="Y113" s="68"/>
      <c r="Z113" s="68"/>
      <c r="AA113" s="68"/>
      <c r="AB113" s="68"/>
      <c r="AC113" s="68"/>
      <c r="AD113" s="68"/>
      <c r="AE113" s="67">
        <v>0.4</v>
      </c>
      <c r="AF113" s="67">
        <v>0.35</v>
      </c>
      <c r="AG113" s="4">
        <v>10</v>
      </c>
      <c r="AH113" s="68"/>
      <c r="AI113" s="68"/>
      <c r="AJ113" s="68"/>
      <c r="AK113" s="68"/>
      <c r="AL113" s="68"/>
      <c r="AM113" s="68"/>
      <c r="AN113" s="68"/>
      <c r="AO113" s="68"/>
      <c r="AP113" s="68"/>
      <c r="AQ113" s="36"/>
    </row>
    <row r="114" spans="9:43" x14ac:dyDescent="0.25">
      <c r="I114" s="34"/>
      <c r="J114" s="68"/>
      <c r="K114" s="78" t="s">
        <v>29</v>
      </c>
      <c r="L114" s="79">
        <f>1-L113</f>
        <v>9.9999999999999978E-2</v>
      </c>
      <c r="M114" s="68"/>
      <c r="N114" s="68"/>
      <c r="O114" s="78" t="s">
        <v>29</v>
      </c>
      <c r="P114" s="79">
        <f>1-P113</f>
        <v>5.0000000000000044E-2</v>
      </c>
      <c r="Q114" s="68"/>
      <c r="R114" s="36"/>
      <c r="U114" s="34"/>
      <c r="V114" s="68"/>
      <c r="W114" s="68"/>
      <c r="X114" s="68"/>
      <c r="Y114" s="68"/>
      <c r="Z114" s="68"/>
      <c r="AA114" s="68"/>
      <c r="AB114" s="68"/>
      <c r="AC114" s="68"/>
      <c r="AD114" s="68"/>
      <c r="AE114" s="67">
        <v>0.45</v>
      </c>
      <c r="AF114" s="67">
        <v>0.4</v>
      </c>
      <c r="AG114" s="4">
        <v>7</v>
      </c>
      <c r="AH114" s="68"/>
      <c r="AI114" s="68"/>
      <c r="AJ114" s="68"/>
      <c r="AK114" s="68"/>
      <c r="AL114" s="68"/>
      <c r="AM114" s="68"/>
      <c r="AN114" s="68"/>
      <c r="AO114" s="68"/>
      <c r="AP114" s="68"/>
      <c r="AQ114" s="36"/>
    </row>
    <row r="115" spans="9:43" x14ac:dyDescent="0.25">
      <c r="I115" s="34"/>
      <c r="J115" s="68"/>
      <c r="K115" s="78" t="s">
        <v>30</v>
      </c>
      <c r="L115" s="80">
        <f>L114/2</f>
        <v>4.9999999999999989E-2</v>
      </c>
      <c r="M115" s="68"/>
      <c r="N115" s="68"/>
      <c r="O115" s="78" t="s">
        <v>30</v>
      </c>
      <c r="P115" s="87">
        <f>P114/2</f>
        <v>2.5000000000000022E-2</v>
      </c>
      <c r="Q115" s="68"/>
      <c r="R115" s="36"/>
      <c r="U115" s="34"/>
      <c r="V115" s="68"/>
      <c r="W115" s="68"/>
      <c r="X115" s="68"/>
      <c r="Y115" s="68"/>
      <c r="Z115" s="68"/>
      <c r="AA115" s="68"/>
      <c r="AB115" s="68"/>
      <c r="AC115" s="68"/>
      <c r="AD115" s="68"/>
      <c r="AE115" s="67">
        <v>0.5</v>
      </c>
      <c r="AF115" s="67">
        <v>0.45</v>
      </c>
      <c r="AG115" s="4">
        <v>3</v>
      </c>
      <c r="AH115" s="68"/>
      <c r="AI115" s="68"/>
      <c r="AJ115" s="68"/>
      <c r="AK115" s="68"/>
      <c r="AL115" s="68"/>
      <c r="AM115" s="68"/>
      <c r="AN115" s="68"/>
      <c r="AO115" s="68"/>
      <c r="AP115" s="68"/>
      <c r="AQ115" s="36"/>
    </row>
    <row r="116" spans="9:43" x14ac:dyDescent="0.25">
      <c r="I116" s="34"/>
      <c r="J116" s="68"/>
      <c r="K116" s="78" t="s">
        <v>31</v>
      </c>
      <c r="L116" s="80">
        <f>1-L115</f>
        <v>0.95</v>
      </c>
      <c r="M116" s="68"/>
      <c r="N116" s="68"/>
      <c r="O116" s="78" t="s">
        <v>31</v>
      </c>
      <c r="P116" s="87">
        <f>1-P115</f>
        <v>0.97499999999999998</v>
      </c>
      <c r="Q116" s="68"/>
      <c r="R116" s="36"/>
      <c r="U116" s="34"/>
      <c r="V116" s="68"/>
      <c r="W116" s="68"/>
      <c r="X116" s="68"/>
      <c r="Y116" s="68"/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  <c r="AJ116" s="68"/>
      <c r="AK116" s="68"/>
      <c r="AL116" s="68"/>
      <c r="AM116" s="68"/>
      <c r="AN116" s="68"/>
      <c r="AO116" s="68"/>
      <c r="AP116" s="68"/>
      <c r="AQ116" s="36"/>
    </row>
    <row r="117" spans="9:43" ht="18" x14ac:dyDescent="0.35">
      <c r="I117" s="34"/>
      <c r="J117" s="68"/>
      <c r="K117" s="78" t="s">
        <v>32</v>
      </c>
      <c r="L117" s="81">
        <f>_xlfn.T.INV(L115,N110)</f>
        <v>-1.7396067260750732</v>
      </c>
      <c r="M117" s="68"/>
      <c r="N117" s="68"/>
      <c r="O117" s="78" t="s">
        <v>32</v>
      </c>
      <c r="P117" s="81">
        <f>_xlfn.T.INV(P115,N110)</f>
        <v>-2.109815577833317</v>
      </c>
      <c r="Q117" s="68"/>
      <c r="R117" s="36"/>
      <c r="U117" s="34"/>
      <c r="V117" s="107"/>
      <c r="W117" s="107"/>
      <c r="X117" s="107"/>
      <c r="Y117" s="107"/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  <c r="AJ117" s="68"/>
      <c r="AK117" s="68"/>
      <c r="AL117" s="68"/>
      <c r="AM117" s="68"/>
      <c r="AN117" s="68"/>
      <c r="AO117" s="68"/>
      <c r="AP117" s="68"/>
      <c r="AQ117" s="36"/>
    </row>
    <row r="118" spans="9:43" ht="18" x14ac:dyDescent="0.35">
      <c r="I118" s="34"/>
      <c r="J118" s="68"/>
      <c r="K118" s="78" t="s">
        <v>33</v>
      </c>
      <c r="L118" s="81">
        <f>_xlfn.T.INV(L116,N110)</f>
        <v>1.7396067260750721</v>
      </c>
      <c r="M118" s="68"/>
      <c r="N118" s="68"/>
      <c r="O118" s="78" t="s">
        <v>33</v>
      </c>
      <c r="P118" s="81">
        <f>_xlfn.T.INV(P116,N110)</f>
        <v>2.109815577833317</v>
      </c>
      <c r="Q118" s="68"/>
      <c r="R118" s="36"/>
      <c r="U118" s="34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  <c r="AJ118" s="68"/>
      <c r="AK118" s="68"/>
      <c r="AL118" s="68"/>
      <c r="AM118" s="68"/>
      <c r="AN118" s="68"/>
      <c r="AO118" s="68"/>
      <c r="AP118" s="68"/>
      <c r="AQ118" s="36"/>
    </row>
    <row r="119" spans="9:43" ht="15.75" thickBot="1" x14ac:dyDescent="0.3">
      <c r="I119" s="34"/>
      <c r="J119" s="68"/>
      <c r="K119" s="78" t="s">
        <v>34</v>
      </c>
      <c r="L119" s="82">
        <f>N107+N108*L117</f>
        <v>96.159274846539148</v>
      </c>
      <c r="M119" s="68"/>
      <c r="N119" s="68"/>
      <c r="O119" s="78" t="s">
        <v>34</v>
      </c>
      <c r="P119" s="82">
        <f>N107+N108*P117</f>
        <v>49.852808182100944</v>
      </c>
      <c r="Q119" s="68"/>
      <c r="R119" s="36"/>
      <c r="U119" s="40"/>
      <c r="V119" s="15"/>
      <c r="W119" s="15"/>
      <c r="X119" s="15"/>
      <c r="Y119" s="15"/>
      <c r="Z119" s="15"/>
      <c r="AA119" s="15"/>
      <c r="AB119" s="109"/>
      <c r="AC119" s="109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37"/>
    </row>
    <row r="120" spans="9:43" ht="15.75" thickBot="1" x14ac:dyDescent="0.3">
      <c r="I120" s="34"/>
      <c r="J120" s="68"/>
      <c r="K120" s="83" t="s">
        <v>35</v>
      </c>
      <c r="L120" s="84">
        <f>N107+N108*L118</f>
        <v>531.34628070901613</v>
      </c>
      <c r="M120" s="68"/>
      <c r="N120" s="68"/>
      <c r="O120" s="83" t="s">
        <v>35</v>
      </c>
      <c r="P120" s="84">
        <f>N107+N108*P118</f>
        <v>577.65274737345453</v>
      </c>
      <c r="Q120" s="68"/>
      <c r="R120" s="36"/>
      <c r="V120" s="28"/>
      <c r="Y120" s="28"/>
    </row>
    <row r="121" spans="9:43" x14ac:dyDescent="0.25">
      <c r="I121" s="34"/>
      <c r="J121" s="68"/>
      <c r="K121" s="68"/>
      <c r="L121" s="68"/>
      <c r="M121" s="68"/>
      <c r="N121" s="68"/>
      <c r="O121" s="68"/>
      <c r="P121" s="68"/>
      <c r="Q121" s="68"/>
      <c r="R121" s="36"/>
      <c r="V121" s="28"/>
      <c r="Y121" s="58"/>
      <c r="AC121" s="63"/>
      <c r="AD121" s="63"/>
      <c r="AE121" s="63"/>
    </row>
    <row r="122" spans="9:43" x14ac:dyDescent="0.25">
      <c r="I122" s="34"/>
      <c r="J122" s="68"/>
      <c r="K122" s="68" t="s">
        <v>164</v>
      </c>
      <c r="L122" s="68"/>
      <c r="M122" s="68"/>
      <c r="N122" s="68"/>
      <c r="O122" s="68" t="s">
        <v>182</v>
      </c>
      <c r="P122" s="68"/>
      <c r="Q122" s="68"/>
      <c r="R122" s="36"/>
      <c r="Y122" s="30"/>
      <c r="AC122" s="63"/>
      <c r="AD122" s="63"/>
      <c r="AE122" s="28"/>
    </row>
    <row r="123" spans="9:43" x14ac:dyDescent="0.25">
      <c r="I123" s="34"/>
      <c r="J123" s="68"/>
      <c r="K123" s="72"/>
      <c r="L123" s="68"/>
      <c r="M123" s="68"/>
      <c r="N123" s="68"/>
      <c r="O123" s="68"/>
      <c r="P123" s="68"/>
      <c r="Q123" s="68"/>
      <c r="R123" s="36"/>
      <c r="Y123" s="28"/>
      <c r="AC123" s="63"/>
      <c r="AD123" s="63"/>
      <c r="AE123" s="55"/>
    </row>
    <row r="124" spans="9:43" ht="15.75" thickBot="1" x14ac:dyDescent="0.3">
      <c r="I124" s="40"/>
      <c r="J124" s="15"/>
      <c r="K124" s="15"/>
      <c r="L124" s="15"/>
      <c r="M124" s="15"/>
      <c r="N124" s="15"/>
      <c r="O124" s="15"/>
      <c r="P124" s="15"/>
      <c r="Q124" s="15"/>
      <c r="R124" s="37"/>
      <c r="Y124" s="28"/>
      <c r="AC124" s="63"/>
      <c r="AD124" s="63"/>
      <c r="AE124" s="55"/>
    </row>
    <row r="125" spans="9:43" x14ac:dyDescent="0.25">
      <c r="Y125" s="28"/>
      <c r="AC125" s="63"/>
      <c r="AD125" s="63"/>
      <c r="AE125" s="45"/>
    </row>
    <row r="126" spans="9:43" x14ac:dyDescent="0.25">
      <c r="Y126" s="57"/>
      <c r="AC126" s="63"/>
      <c r="AD126" s="63"/>
      <c r="AE126" s="30"/>
    </row>
    <row r="128" spans="9:43" x14ac:dyDescent="0.25">
      <c r="AC128" s="63"/>
      <c r="AD128" s="63"/>
      <c r="AE128" s="63"/>
    </row>
    <row r="129" spans="16:52" ht="15.75" thickBot="1" x14ac:dyDescent="0.3">
      <c r="AC129" s="63"/>
      <c r="AD129" s="63"/>
      <c r="AE129" s="28"/>
    </row>
    <row r="130" spans="16:52" x14ac:dyDescent="0.25">
      <c r="AC130" s="63"/>
      <c r="AD130" s="63"/>
      <c r="AE130" s="28"/>
      <c r="AN130" s="31"/>
      <c r="AO130" s="110"/>
      <c r="AP130" s="112" t="s">
        <v>101</v>
      </c>
      <c r="AQ130" s="111"/>
      <c r="AR130" s="111"/>
      <c r="AS130" s="111"/>
      <c r="AT130" s="111"/>
      <c r="AU130" s="111"/>
      <c r="AV130" s="111"/>
      <c r="AW130" s="32"/>
      <c r="AX130" s="32"/>
      <c r="AY130" s="32"/>
      <c r="AZ130" s="33"/>
    </row>
    <row r="131" spans="16:52" x14ac:dyDescent="0.25">
      <c r="AC131" s="63"/>
      <c r="AD131" s="63"/>
      <c r="AE131" s="28"/>
      <c r="AN131" s="34"/>
      <c r="AO131" s="254"/>
      <c r="AP131" s="254"/>
      <c r="AQ131" s="254"/>
      <c r="AR131" s="254"/>
      <c r="AS131" s="254"/>
      <c r="AT131" s="254"/>
      <c r="AU131" s="254"/>
      <c r="AV131" s="254"/>
      <c r="AW131" s="68"/>
      <c r="AX131" s="68"/>
      <c r="AY131" s="68"/>
      <c r="AZ131" s="36"/>
    </row>
    <row r="132" spans="16:52" x14ac:dyDescent="0.25">
      <c r="AC132" s="63"/>
      <c r="AD132" s="63"/>
      <c r="AE132" s="30"/>
      <c r="AN132" s="34"/>
      <c r="AO132" s="254"/>
      <c r="AP132" s="255" t="s">
        <v>102</v>
      </c>
      <c r="AQ132" s="255"/>
      <c r="AR132" s="255"/>
      <c r="AS132" s="254"/>
      <c r="AT132" s="254"/>
      <c r="AU132" s="254"/>
      <c r="AV132" s="254"/>
      <c r="AW132" s="68"/>
      <c r="AX132" s="68"/>
      <c r="AY132" s="68"/>
      <c r="AZ132" s="36"/>
    </row>
    <row r="133" spans="16:52" x14ac:dyDescent="0.25">
      <c r="P133" s="64"/>
      <c r="Q133" s="64"/>
      <c r="R133" s="64"/>
      <c r="AN133" s="34"/>
      <c r="AO133" s="254"/>
      <c r="AP133" s="255" t="s">
        <v>103</v>
      </c>
      <c r="AQ133" s="255"/>
      <c r="AR133" s="104">
        <v>320</v>
      </c>
      <c r="AS133" s="254"/>
      <c r="AT133" s="254"/>
      <c r="AU133" s="254"/>
      <c r="AV133" s="254"/>
      <c r="AW133" s="68"/>
      <c r="AX133" s="68"/>
      <c r="AY133" s="68"/>
      <c r="AZ133" s="36"/>
    </row>
    <row r="134" spans="16:52" x14ac:dyDescent="0.25">
      <c r="P134" s="54"/>
      <c r="Q134" s="28"/>
      <c r="R134" s="54"/>
      <c r="W134" s="64"/>
      <c r="X134" s="64"/>
      <c r="Y134" s="64"/>
      <c r="Z134" s="64"/>
      <c r="AA134" s="64"/>
      <c r="AB134" s="64"/>
      <c r="AC134" s="64"/>
      <c r="AN134" s="34"/>
      <c r="AO134" s="254"/>
      <c r="AP134" s="255" t="s">
        <v>15</v>
      </c>
      <c r="AQ134" s="255"/>
      <c r="AR134" s="256">
        <f>AVERAGE(market)</f>
        <v>313.75277777777774</v>
      </c>
      <c r="AS134" s="254"/>
      <c r="AT134" s="254"/>
      <c r="AU134" s="254"/>
      <c r="AV134" s="254"/>
      <c r="AW134" s="68"/>
      <c r="AX134" s="68"/>
      <c r="AY134" s="68"/>
      <c r="AZ134" s="36"/>
    </row>
    <row r="135" spans="16:52" x14ac:dyDescent="0.25">
      <c r="P135" s="28"/>
      <c r="Q135" s="28"/>
      <c r="R135" s="28"/>
      <c r="S135" s="28"/>
      <c r="W135" s="28"/>
      <c r="Y135" s="55"/>
      <c r="Z135" s="28"/>
      <c r="AB135" s="55"/>
      <c r="AN135" s="34"/>
      <c r="AO135" s="254"/>
      <c r="AP135" s="255" t="s">
        <v>104</v>
      </c>
      <c r="AQ135" s="255"/>
      <c r="AR135" s="256">
        <f>N108</f>
        <v>125.08200828941166</v>
      </c>
      <c r="AS135" s="254"/>
      <c r="AT135" s="254"/>
      <c r="AU135" s="254"/>
      <c r="AV135" s="254"/>
      <c r="AW135" s="68"/>
      <c r="AX135" s="68"/>
      <c r="AY135" s="68"/>
      <c r="AZ135" s="36"/>
    </row>
    <row r="136" spans="16:52" x14ac:dyDescent="0.25">
      <c r="P136" s="28"/>
      <c r="Q136" s="28"/>
      <c r="R136" s="28"/>
      <c r="S136" s="28"/>
      <c r="W136" s="28"/>
      <c r="Y136" s="55"/>
      <c r="Z136" s="28"/>
      <c r="AB136" s="55"/>
      <c r="AN136" s="34"/>
      <c r="AO136" s="254"/>
      <c r="AP136" s="255" t="s">
        <v>37</v>
      </c>
      <c r="AQ136" s="255"/>
      <c r="AR136" s="257">
        <f>(AR133-AR134)/AR135</f>
        <v>4.9945010538746663E-2</v>
      </c>
      <c r="AS136" s="254"/>
      <c r="AT136" s="254"/>
      <c r="AU136" s="254"/>
      <c r="AV136" s="254"/>
      <c r="AW136" s="68"/>
      <c r="AX136" s="68"/>
      <c r="AY136" s="68"/>
      <c r="AZ136" s="36"/>
    </row>
    <row r="137" spans="16:52" x14ac:dyDescent="0.25">
      <c r="P137" s="28"/>
      <c r="Q137" s="28"/>
      <c r="R137" s="28"/>
      <c r="S137" s="28"/>
      <c r="W137" s="28"/>
      <c r="Y137" s="28"/>
      <c r="Z137" s="28"/>
      <c r="AB137" s="28"/>
      <c r="AN137" s="34"/>
      <c r="AO137" s="254"/>
      <c r="AP137" s="255" t="s">
        <v>62</v>
      </c>
      <c r="AQ137" s="255"/>
      <c r="AR137" s="66">
        <f>1-_xlfn.T.DIST(AR136,N110,1)</f>
        <v>0.48037417047129127</v>
      </c>
      <c r="AS137" s="254"/>
      <c r="AT137" s="254"/>
      <c r="AU137" s="254"/>
      <c r="AV137" s="254"/>
      <c r="AW137" s="68"/>
      <c r="AX137" s="68"/>
      <c r="AY137" s="68"/>
      <c r="AZ137" s="36"/>
    </row>
    <row r="138" spans="16:52" x14ac:dyDescent="0.25">
      <c r="P138" s="28"/>
      <c r="Q138" s="28"/>
      <c r="R138" s="28"/>
      <c r="S138" s="28"/>
      <c r="W138" s="28"/>
      <c r="Y138" s="45"/>
      <c r="Z138" s="28"/>
      <c r="AB138" s="45"/>
      <c r="AN138" s="34"/>
      <c r="AO138" s="254"/>
      <c r="AP138" s="254"/>
      <c r="AQ138" s="254"/>
      <c r="AR138" s="254"/>
      <c r="AS138" s="254"/>
      <c r="AT138" s="254"/>
      <c r="AU138" s="254"/>
      <c r="AV138" s="254"/>
      <c r="AW138" s="68"/>
      <c r="AX138" s="68"/>
      <c r="AY138" s="68"/>
      <c r="AZ138" s="36"/>
    </row>
    <row r="139" spans="16:52" x14ac:dyDescent="0.25">
      <c r="P139" s="28"/>
      <c r="Q139" s="28"/>
      <c r="R139" s="28"/>
      <c r="S139" s="28"/>
      <c r="Y139" s="30"/>
      <c r="AB139" s="30"/>
      <c r="AN139" s="34"/>
      <c r="AO139" s="254"/>
      <c r="AP139" s="255" t="s">
        <v>105</v>
      </c>
      <c r="AQ139" s="255"/>
      <c r="AR139" s="255"/>
      <c r="AS139" s="254"/>
      <c r="AT139" s="254"/>
      <c r="AU139" s="254"/>
      <c r="AV139" s="254"/>
      <c r="AW139" s="68"/>
      <c r="AX139" s="68"/>
      <c r="AY139" s="68"/>
      <c r="AZ139" s="36"/>
    </row>
    <row r="140" spans="16:52" x14ac:dyDescent="0.25">
      <c r="P140" s="28"/>
      <c r="Q140" s="28"/>
      <c r="R140" s="28"/>
      <c r="S140" s="28"/>
      <c r="Y140" s="28"/>
      <c r="AB140" s="28"/>
      <c r="AN140" s="34"/>
      <c r="AO140" s="254"/>
      <c r="AP140" s="255" t="s">
        <v>103</v>
      </c>
      <c r="AQ140" s="255"/>
      <c r="AR140" s="104">
        <v>320</v>
      </c>
      <c r="AS140" s="254"/>
      <c r="AT140" s="254"/>
      <c r="AU140" s="254"/>
      <c r="AV140" s="254"/>
      <c r="AW140" s="68"/>
      <c r="AX140" s="68"/>
      <c r="AY140" s="68"/>
      <c r="AZ140" s="36"/>
    </row>
    <row r="141" spans="16:52" x14ac:dyDescent="0.25">
      <c r="P141" s="28"/>
      <c r="Q141" s="28"/>
      <c r="R141" s="28"/>
      <c r="S141" s="28"/>
      <c r="Y141" s="28"/>
      <c r="AB141" s="28"/>
      <c r="AN141" s="34"/>
      <c r="AO141" s="254"/>
      <c r="AP141" s="255" t="s">
        <v>106</v>
      </c>
      <c r="AQ141" s="255"/>
      <c r="AR141" s="104">
        <f>COUNT(market)</f>
        <v>18</v>
      </c>
      <c r="AS141" s="254"/>
      <c r="AT141" s="254"/>
      <c r="AU141" s="254"/>
      <c r="AV141" s="254"/>
      <c r="AW141" s="68"/>
      <c r="AX141" s="68"/>
      <c r="AY141" s="68"/>
      <c r="AZ141" s="36"/>
    </row>
    <row r="142" spans="16:52" x14ac:dyDescent="0.25">
      <c r="P142" s="28"/>
      <c r="Q142" s="28"/>
      <c r="R142" s="28"/>
      <c r="S142" s="28"/>
      <c r="Y142" s="28"/>
      <c r="AB142" s="28"/>
      <c r="AN142" s="34"/>
      <c r="AO142" s="254"/>
      <c r="AP142" s="255" t="s">
        <v>127</v>
      </c>
      <c r="AQ142" s="255"/>
      <c r="AR142" s="104">
        <f>COUNTIF(market,"&gt;230")</f>
        <v>12</v>
      </c>
      <c r="AS142" s="254"/>
      <c r="AT142" s="254"/>
      <c r="AU142" s="254"/>
      <c r="AV142" s="254"/>
      <c r="AW142" s="68"/>
      <c r="AX142" s="68"/>
      <c r="AY142" s="68"/>
      <c r="AZ142" s="36"/>
    </row>
    <row r="143" spans="16:52" x14ac:dyDescent="0.25">
      <c r="P143" s="28"/>
      <c r="Q143" s="28"/>
      <c r="R143" s="28"/>
      <c r="S143" s="28"/>
      <c r="Y143" s="30"/>
      <c r="AB143" s="30"/>
      <c r="AN143" s="34"/>
      <c r="AO143" s="254"/>
      <c r="AP143" s="255" t="s">
        <v>126</v>
      </c>
      <c r="AQ143" s="255"/>
      <c r="AR143" s="66">
        <f>AR142/AR141</f>
        <v>0.66666666666666663</v>
      </c>
      <c r="AS143" s="254"/>
      <c r="AT143" s="254"/>
      <c r="AU143" s="254"/>
      <c r="AV143" s="254"/>
      <c r="AW143" s="68"/>
      <c r="AX143" s="68"/>
      <c r="AY143" s="68"/>
      <c r="AZ143" s="36"/>
    </row>
    <row r="144" spans="16:52" x14ac:dyDescent="0.25">
      <c r="P144" s="28"/>
      <c r="Q144" s="28"/>
      <c r="R144" s="28"/>
      <c r="S144" s="28"/>
      <c r="Y144" s="28"/>
      <c r="AB144" s="28"/>
      <c r="AN144" s="34"/>
      <c r="AO144" s="254"/>
      <c r="AP144" s="254"/>
      <c r="AQ144" s="254"/>
      <c r="AR144" s="254"/>
      <c r="AS144" s="254"/>
      <c r="AT144" s="254"/>
      <c r="AU144" s="254"/>
      <c r="AV144" s="254"/>
      <c r="AW144" s="68"/>
      <c r="AX144" s="68"/>
      <c r="AY144" s="68"/>
      <c r="AZ144" s="36"/>
    </row>
    <row r="145" spans="17:58" x14ac:dyDescent="0.25">
      <c r="Y145" s="56"/>
      <c r="AB145" s="56"/>
      <c r="AN145" s="34"/>
      <c r="AO145" s="254"/>
      <c r="AP145" s="254" t="s">
        <v>128</v>
      </c>
      <c r="AQ145" s="254"/>
      <c r="AR145" s="254"/>
      <c r="AS145" s="254"/>
      <c r="AT145" s="254"/>
      <c r="AU145" s="254"/>
      <c r="AV145" s="254"/>
      <c r="AW145" s="68"/>
      <c r="AX145" s="68"/>
      <c r="AY145" s="68"/>
      <c r="AZ145" s="36"/>
    </row>
    <row r="146" spans="17:58" x14ac:dyDescent="0.25">
      <c r="W146" s="28"/>
      <c r="Y146" s="45"/>
      <c r="Z146" s="28"/>
      <c r="AB146" s="45"/>
      <c r="AN146" s="34"/>
      <c r="AO146" s="254"/>
      <c r="AP146" s="254" t="s">
        <v>159</v>
      </c>
      <c r="AQ146" s="254"/>
      <c r="AR146" s="254"/>
      <c r="AS146" s="254"/>
      <c r="AT146" s="254"/>
      <c r="AU146" s="254"/>
      <c r="AV146" s="254"/>
      <c r="AW146" s="68"/>
      <c r="AX146" s="68"/>
      <c r="AY146" s="68"/>
      <c r="AZ146" s="36"/>
    </row>
    <row r="147" spans="17:58" x14ac:dyDescent="0.25">
      <c r="W147" s="28"/>
      <c r="Y147" s="44"/>
      <c r="Z147" s="28"/>
      <c r="AB147" s="44"/>
      <c r="AN147" s="34"/>
      <c r="AO147" s="254"/>
      <c r="AP147" s="254"/>
      <c r="AQ147" s="254"/>
      <c r="AR147" s="254"/>
      <c r="AS147" s="254"/>
      <c r="AT147" s="254"/>
      <c r="AU147" s="254"/>
      <c r="AV147" s="254"/>
      <c r="AW147" s="68"/>
      <c r="AX147" s="68"/>
      <c r="AY147" s="68"/>
      <c r="AZ147" s="36"/>
    </row>
    <row r="148" spans="17:58" x14ac:dyDescent="0.25">
      <c r="W148" s="28"/>
      <c r="Y148" s="45"/>
      <c r="Z148" s="28"/>
      <c r="AB148" s="45"/>
      <c r="AN148" s="34"/>
      <c r="AO148" s="254"/>
      <c r="AP148" s="254"/>
      <c r="AQ148" s="254"/>
      <c r="AR148" s="254"/>
      <c r="AS148" s="254"/>
      <c r="AT148" s="254"/>
      <c r="AU148" s="254"/>
      <c r="AV148" s="254"/>
      <c r="AW148" s="68"/>
      <c r="AX148" s="68"/>
      <c r="AY148" s="68"/>
      <c r="AZ148" s="36"/>
    </row>
    <row r="149" spans="17:58" x14ac:dyDescent="0.25">
      <c r="AN149" s="34"/>
      <c r="AO149" s="254"/>
      <c r="AP149" s="254"/>
      <c r="AQ149" s="254"/>
      <c r="AR149" s="254"/>
      <c r="AS149" s="254"/>
      <c r="AT149" s="254"/>
      <c r="AU149" s="254"/>
      <c r="AV149" s="254"/>
      <c r="AW149" s="68"/>
      <c r="AX149" s="68"/>
      <c r="AY149" s="68"/>
      <c r="AZ149" s="36"/>
    </row>
    <row r="150" spans="17:58" ht="15.75" thickBot="1" x14ac:dyDescent="0.3">
      <c r="W150" s="63"/>
      <c r="X150" s="63"/>
      <c r="Y150" s="63"/>
      <c r="Z150" s="63"/>
      <c r="AA150" s="63"/>
      <c r="AB150" s="63"/>
      <c r="AC150" s="63"/>
      <c r="AN150" s="40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37"/>
    </row>
    <row r="151" spans="17:58" x14ac:dyDescent="0.25">
      <c r="W151" s="63"/>
      <c r="X151" s="63"/>
      <c r="Y151" s="63"/>
      <c r="Z151" s="63"/>
      <c r="AA151" s="63"/>
      <c r="AB151" s="63"/>
      <c r="AC151" s="63"/>
    </row>
    <row r="152" spans="17:58" ht="15.75" thickBot="1" x14ac:dyDescent="0.3"/>
    <row r="153" spans="17:58" x14ac:dyDescent="0.25">
      <c r="AN153" s="31"/>
      <c r="AO153" s="38"/>
      <c r="AP153" s="176" t="s">
        <v>163</v>
      </c>
      <c r="AQ153" s="32"/>
      <c r="AR153" s="32"/>
      <c r="AS153" s="32"/>
      <c r="AT153" s="32"/>
      <c r="AU153" s="32"/>
      <c r="AV153" s="32"/>
      <c r="AW153" s="32"/>
      <c r="AX153" s="32"/>
      <c r="AY153" s="32"/>
      <c r="AZ153" s="32"/>
      <c r="BA153" s="32"/>
      <c r="BB153" s="32"/>
      <c r="BC153" s="32"/>
      <c r="BD153" s="32"/>
      <c r="BE153" s="32"/>
      <c r="BF153" s="33"/>
    </row>
    <row r="154" spans="17:58" x14ac:dyDescent="0.25">
      <c r="AN154" s="34"/>
      <c r="AO154" s="68"/>
      <c r="AP154" s="68"/>
      <c r="AQ154" s="68"/>
      <c r="AR154" s="68"/>
      <c r="AS154" s="68"/>
      <c r="AT154" s="68"/>
      <c r="AU154" s="68"/>
      <c r="AV154" s="68"/>
      <c r="AW154" s="68"/>
      <c r="AX154" s="68"/>
      <c r="AY154" s="68"/>
      <c r="AZ154" s="68"/>
      <c r="BA154" s="68"/>
      <c r="BB154" s="68"/>
      <c r="BC154" s="68"/>
      <c r="BD154" s="68"/>
      <c r="BE154" s="68"/>
      <c r="BF154" s="36"/>
    </row>
    <row r="155" spans="17:58" ht="15.75" thickBot="1" x14ac:dyDescent="0.3">
      <c r="AN155" s="34"/>
      <c r="AO155" s="68"/>
      <c r="AP155" s="68" t="s">
        <v>160</v>
      </c>
      <c r="AQ155" s="68"/>
      <c r="AR155" s="68"/>
      <c r="AS155" s="68"/>
      <c r="AT155" s="68"/>
      <c r="AU155" s="68"/>
      <c r="AV155" s="68"/>
      <c r="AW155" s="68"/>
      <c r="AX155" s="68"/>
      <c r="AY155" s="68"/>
      <c r="AZ155" s="68"/>
      <c r="BA155" s="68"/>
      <c r="BB155" s="68"/>
      <c r="BC155" s="68"/>
      <c r="BD155" s="68"/>
      <c r="BE155" s="68"/>
      <c r="BF155" s="36"/>
    </row>
    <row r="156" spans="17:58" x14ac:dyDescent="0.25">
      <c r="Q156" s="113"/>
      <c r="R156" s="176" t="s">
        <v>41</v>
      </c>
      <c r="S156" s="114"/>
      <c r="T156" s="115"/>
      <c r="Y156" s="60"/>
      <c r="Z156" s="60"/>
      <c r="AA156" s="60"/>
      <c r="AN156" s="34"/>
      <c r="AO156" s="68"/>
      <c r="AP156" s="68" t="s">
        <v>107</v>
      </c>
      <c r="AQ156" s="68"/>
      <c r="AR156" s="68"/>
      <c r="AS156" s="68"/>
      <c r="AT156" s="68"/>
      <c r="AU156" s="68"/>
      <c r="AV156" s="68"/>
      <c r="AW156" s="68"/>
      <c r="AX156" s="68"/>
      <c r="AY156" s="68"/>
      <c r="AZ156" s="68"/>
      <c r="BA156" s="68"/>
      <c r="BB156" s="68"/>
      <c r="BC156" s="68"/>
      <c r="BD156" s="68"/>
      <c r="BE156" s="68"/>
      <c r="BF156" s="36"/>
    </row>
    <row r="157" spans="17:58" x14ac:dyDescent="0.25">
      <c r="Q157" s="116"/>
      <c r="R157" s="117"/>
      <c r="S157" s="117"/>
      <c r="T157" s="118"/>
      <c r="Y157" s="28"/>
      <c r="Z157" s="61"/>
      <c r="AA157" s="61"/>
      <c r="AN157" s="34"/>
      <c r="AO157" s="68"/>
      <c r="AP157" s="68"/>
      <c r="AQ157" s="68"/>
      <c r="AR157" s="68"/>
      <c r="AS157" s="68"/>
      <c r="AT157" s="68"/>
      <c r="AU157" s="68"/>
      <c r="AV157" s="68"/>
      <c r="AW157" s="68"/>
      <c r="AX157" s="68"/>
      <c r="AY157" s="68"/>
      <c r="AZ157" s="68"/>
      <c r="BA157" s="68"/>
      <c r="BB157" s="68"/>
      <c r="BC157" s="68"/>
      <c r="BD157" s="68"/>
      <c r="BE157" s="68"/>
      <c r="BF157" s="36"/>
    </row>
    <row r="158" spans="17:58" x14ac:dyDescent="0.25">
      <c r="Q158" s="116"/>
      <c r="R158" s="134" t="s">
        <v>15</v>
      </c>
      <c r="S158" s="200">
        <f>K67</f>
        <v>313.75277777777774</v>
      </c>
      <c r="T158" s="118"/>
      <c r="Y158" s="28"/>
      <c r="Z158" s="61"/>
      <c r="AA158" s="61"/>
      <c r="AN158" s="34"/>
      <c r="AO158" s="68"/>
      <c r="AP158" s="68" t="s">
        <v>161</v>
      </c>
      <c r="AQ158" s="68"/>
      <c r="AR158" s="68"/>
      <c r="AS158" s="68"/>
      <c r="AT158" s="68"/>
      <c r="AU158" s="68"/>
      <c r="AV158" s="68"/>
      <c r="AW158" s="68"/>
      <c r="AX158" s="68"/>
      <c r="AY158" s="68"/>
      <c r="AZ158" s="68"/>
      <c r="BA158" s="68"/>
      <c r="BB158" s="68"/>
      <c r="BC158" s="68"/>
      <c r="BD158" s="68"/>
      <c r="BE158" s="68"/>
      <c r="BF158" s="36"/>
    </row>
    <row r="159" spans="17:58" x14ac:dyDescent="0.25">
      <c r="Q159" s="116"/>
      <c r="R159" s="139" t="s">
        <v>16</v>
      </c>
      <c r="S159" s="201">
        <f>K68</f>
        <v>125.08200828941166</v>
      </c>
      <c r="T159" s="118"/>
      <c r="Y159" s="28"/>
      <c r="Z159" s="62"/>
      <c r="AA159" s="62"/>
      <c r="AN159" s="34"/>
      <c r="AO159" s="68"/>
      <c r="AP159" s="68" t="s">
        <v>162</v>
      </c>
      <c r="AQ159" s="68"/>
      <c r="AR159" s="68"/>
      <c r="AS159" s="68"/>
      <c r="AT159" s="68"/>
      <c r="AU159" s="68"/>
      <c r="AV159" s="68"/>
      <c r="AW159" s="68"/>
      <c r="AX159" s="68"/>
      <c r="AY159" s="68"/>
      <c r="AZ159" s="68"/>
      <c r="BA159" s="68"/>
      <c r="BB159" s="68"/>
      <c r="BC159" s="68"/>
      <c r="BD159" s="68"/>
      <c r="BE159" s="68"/>
      <c r="BF159" s="36"/>
    </row>
    <row r="160" spans="17:58" ht="15.75" thickBot="1" x14ac:dyDescent="0.3">
      <c r="Q160" s="116"/>
      <c r="R160" s="142"/>
      <c r="S160" s="142"/>
      <c r="T160" s="118"/>
      <c r="Y160" s="28"/>
      <c r="Z160" s="62"/>
      <c r="AA160" s="62"/>
      <c r="AN160" s="40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37"/>
    </row>
    <row r="161" spans="9:52" x14ac:dyDescent="0.25">
      <c r="Q161" s="116"/>
      <c r="R161" s="202" t="s">
        <v>42</v>
      </c>
      <c r="S161" s="203">
        <f>simOutput("Simulation Output")+RandLogNormal(313.8,125.1,0)</f>
        <v>313.8</v>
      </c>
      <c r="T161" s="118"/>
      <c r="Y161" s="28"/>
      <c r="Z161" s="59"/>
      <c r="AA161" s="59"/>
    </row>
    <row r="162" spans="9:52" ht="15.75" thickBot="1" x14ac:dyDescent="0.3">
      <c r="Q162" s="189"/>
      <c r="R162" s="190"/>
      <c r="S162" s="190"/>
      <c r="T162" s="191"/>
      <c r="Y162" s="28"/>
      <c r="Z162" s="59"/>
      <c r="AA162" s="59"/>
    </row>
    <row r="163" spans="9:52" x14ac:dyDescent="0.25">
      <c r="Y163" s="28"/>
      <c r="Z163" s="45"/>
      <c r="AA163" s="45"/>
    </row>
    <row r="164" spans="9:52" ht="15.75" thickBot="1" x14ac:dyDescent="0.3">
      <c r="Y164" s="28"/>
      <c r="Z164" s="45"/>
      <c r="AA164" s="45"/>
    </row>
    <row r="165" spans="9:52" x14ac:dyDescent="0.25">
      <c r="AO165" s="113"/>
      <c r="AP165" s="112" t="s">
        <v>108</v>
      </c>
      <c r="AQ165" s="114"/>
      <c r="AR165" s="114"/>
      <c r="AS165" s="114"/>
      <c r="AT165" s="114"/>
      <c r="AU165" s="114"/>
      <c r="AV165" s="114"/>
      <c r="AW165" s="114"/>
      <c r="AX165" s="114"/>
      <c r="AY165" s="114"/>
      <c r="AZ165" s="115"/>
    </row>
    <row r="166" spans="9:52" x14ac:dyDescent="0.25">
      <c r="AO166" s="116"/>
      <c r="AP166" s="117"/>
      <c r="AQ166" s="117"/>
      <c r="AR166" s="117"/>
      <c r="AS166" s="117"/>
      <c r="AT166" s="117"/>
      <c r="AU166" s="117"/>
      <c r="AV166" s="51" t="s">
        <v>109</v>
      </c>
      <c r="AW166" s="117"/>
      <c r="AX166" s="117"/>
      <c r="AY166" s="117"/>
      <c r="AZ166" s="118"/>
    </row>
    <row r="167" spans="9:52" ht="15.75" thickBot="1" x14ac:dyDescent="0.3">
      <c r="AO167" s="116"/>
      <c r="AP167" s="117"/>
      <c r="AQ167" s="162" t="s">
        <v>38</v>
      </c>
      <c r="AR167" s="162" t="s">
        <v>39</v>
      </c>
      <c r="AS167" s="162" t="s">
        <v>52</v>
      </c>
      <c r="AT167" s="117"/>
      <c r="AU167" s="117"/>
      <c r="AV167" s="117"/>
      <c r="AW167" s="117"/>
      <c r="AX167" s="117"/>
      <c r="AY167" s="117"/>
      <c r="AZ167" s="118"/>
    </row>
    <row r="168" spans="9:52" x14ac:dyDescent="0.25">
      <c r="I168" s="31"/>
      <c r="J168" s="31"/>
      <c r="K168" s="114"/>
      <c r="L168" s="176" t="s">
        <v>67</v>
      </c>
      <c r="M168" s="114"/>
      <c r="N168" s="114"/>
      <c r="O168" s="114"/>
      <c r="P168" s="114"/>
      <c r="Q168" s="114"/>
      <c r="R168" s="114"/>
      <c r="S168" s="115"/>
      <c r="T168" s="33"/>
      <c r="AO168" s="116"/>
      <c r="AP168" s="117"/>
      <c r="AQ168" s="119">
        <f ca="1">INDEX(market,RANDBETWEEN(1,ROWS(market)),RANDBETWEEN(1,COLUMNS(market)))</f>
        <v>310</v>
      </c>
      <c r="AR168" s="119">
        <v>310</v>
      </c>
      <c r="AS168" s="119">
        <v>285</v>
      </c>
      <c r="AT168" s="120"/>
      <c r="AU168" s="117"/>
      <c r="AV168" s="121" t="s">
        <v>36</v>
      </c>
      <c r="AW168" s="122"/>
      <c r="AX168" s="123"/>
      <c r="AY168" s="124">
        <v>320</v>
      </c>
      <c r="AZ168" s="118"/>
    </row>
    <row r="169" spans="9:52" x14ac:dyDescent="0.25">
      <c r="I169" s="34"/>
      <c r="J169" s="34"/>
      <c r="K169" s="250"/>
      <c r="L169" s="250"/>
      <c r="M169" s="250"/>
      <c r="N169" s="250" t="s">
        <v>64</v>
      </c>
      <c r="O169" s="250"/>
      <c r="P169" s="250"/>
      <c r="Q169" s="250"/>
      <c r="R169" s="250"/>
      <c r="S169" s="118"/>
      <c r="T169" s="36"/>
      <c r="AO169" s="116"/>
      <c r="AP169" s="117"/>
      <c r="AQ169" s="119">
        <f ca="1">INDEX(market,RANDBETWEEN(1,ROWS(market)),RANDBETWEEN(1,COLUMNS(market)))</f>
        <v>310</v>
      </c>
      <c r="AR169" s="119">
        <v>182.5</v>
      </c>
      <c r="AS169" s="119">
        <v>477</v>
      </c>
      <c r="AT169" s="120"/>
      <c r="AU169" s="117"/>
      <c r="AV169" s="125" t="s">
        <v>37</v>
      </c>
      <c r="AW169" s="126"/>
      <c r="AX169" s="127"/>
      <c r="AY169" s="128">
        <f>(AY168-S158)/S159</f>
        <v>4.9945010538746663E-2</v>
      </c>
      <c r="AZ169" s="118"/>
    </row>
    <row r="170" spans="9:52" x14ac:dyDescent="0.25">
      <c r="I170" s="34"/>
      <c r="J170" s="34"/>
      <c r="K170" s="250"/>
      <c r="L170" s="251" t="s">
        <v>65</v>
      </c>
      <c r="M170" s="252">
        <f>CORREL(market,E6:E23)</f>
        <v>0.94501670772801161</v>
      </c>
      <c r="N170" s="250"/>
      <c r="O170" s="250"/>
      <c r="P170" s="250"/>
      <c r="Q170" s="250"/>
      <c r="R170" s="250"/>
      <c r="S170" s="118"/>
      <c r="T170" s="36"/>
      <c r="AO170" s="116"/>
      <c r="AP170" s="117"/>
      <c r="AQ170" s="119">
        <f ca="1">INDEX(market,RANDBETWEEN(1,ROWS(market)),RANDBETWEEN(1,COLUMNS(market)))</f>
        <v>190</v>
      </c>
      <c r="AR170" s="119">
        <v>310</v>
      </c>
      <c r="AS170" s="119">
        <v>310</v>
      </c>
      <c r="AT170" s="120"/>
      <c r="AU170" s="117"/>
      <c r="AV170" s="163" t="s">
        <v>124</v>
      </c>
      <c r="AW170" s="164"/>
      <c r="AX170" s="165"/>
      <c r="AY170" s="166">
        <f>1-_xlfn.T.DIST(AY169,N110,1)</f>
        <v>0.48037417047129127</v>
      </c>
      <c r="AZ170" s="118"/>
    </row>
    <row r="171" spans="9:52" x14ac:dyDescent="0.25">
      <c r="I171" s="34"/>
      <c r="J171" s="34"/>
      <c r="K171" s="250"/>
      <c r="L171" s="251" t="s">
        <v>66</v>
      </c>
      <c r="M171" s="252">
        <f>COVAR(market,C6:C23)</f>
        <v>202450.87191358025</v>
      </c>
      <c r="N171" s="250"/>
      <c r="O171" s="250"/>
      <c r="P171" s="250"/>
      <c r="Q171" s="250"/>
      <c r="R171" s="250"/>
      <c r="S171" s="118"/>
      <c r="T171" s="36"/>
      <c r="AO171" s="116"/>
      <c r="AP171" s="117"/>
      <c r="AQ171" s="119">
        <f ca="1">INDEX(market,RANDBETWEEN(1,ROWS(market)),RANDBETWEEN(1,COLUMNS(market)))</f>
        <v>310</v>
      </c>
      <c r="AR171" s="119">
        <v>190</v>
      </c>
      <c r="AS171" s="119">
        <v>285</v>
      </c>
      <c r="AT171" s="120"/>
      <c r="AU171" s="117"/>
      <c r="AV171" s="129"/>
      <c r="AW171" s="117"/>
      <c r="AX171" s="130"/>
      <c r="AY171" s="131"/>
      <c r="AZ171" s="118"/>
    </row>
    <row r="172" spans="9:52" x14ac:dyDescent="0.25">
      <c r="I172" s="34"/>
      <c r="J172" s="34"/>
      <c r="K172" s="250"/>
      <c r="L172" s="250"/>
      <c r="M172" s="250"/>
      <c r="N172" s="250"/>
      <c r="O172" s="250"/>
      <c r="P172" s="250"/>
      <c r="Q172" s="250"/>
      <c r="R172" s="250"/>
      <c r="S172" s="118"/>
      <c r="T172" s="36"/>
      <c r="AO172" s="116"/>
      <c r="AP172" s="117"/>
      <c r="AQ172" s="119">
        <f ca="1">INDEX(market,RANDBETWEEN(1,ROWS(market)),RANDBETWEEN(1,COLUMNS(market)))</f>
        <v>310</v>
      </c>
      <c r="AR172" s="119">
        <v>310</v>
      </c>
      <c r="AS172" s="119">
        <v>220.4</v>
      </c>
      <c r="AT172" s="120"/>
      <c r="AU172" s="117"/>
      <c r="AV172" s="125" t="s">
        <v>125</v>
      </c>
      <c r="AW172" s="126"/>
      <c r="AX172" s="127"/>
      <c r="AY172" s="131">
        <f>COUNTIF(market,"&gt;320")</f>
        <v>6</v>
      </c>
      <c r="AZ172" s="118"/>
    </row>
    <row r="173" spans="9:52" x14ac:dyDescent="0.25">
      <c r="I173" s="34"/>
      <c r="J173" s="34"/>
      <c r="K173" s="250"/>
      <c r="L173" s="250"/>
      <c r="M173" s="250"/>
      <c r="N173" s="250"/>
      <c r="O173" s="250"/>
      <c r="P173" s="250"/>
      <c r="Q173" s="250"/>
      <c r="R173" s="250"/>
      <c r="S173" s="118"/>
      <c r="T173" s="36"/>
      <c r="AO173" s="116"/>
      <c r="AP173" s="117"/>
      <c r="AQ173" s="119">
        <f ca="1">INDEX(market,RANDBETWEEN(1,ROWS(market)),RANDBETWEEN(1,COLUMNS(market)))</f>
        <v>190.5</v>
      </c>
      <c r="AR173" s="119">
        <v>419</v>
      </c>
      <c r="AS173" s="119">
        <v>419</v>
      </c>
      <c r="AT173" s="120"/>
      <c r="AU173" s="117"/>
      <c r="AV173" s="125" t="s">
        <v>110</v>
      </c>
      <c r="AW173" s="126"/>
      <c r="AX173" s="127"/>
      <c r="AY173" s="131">
        <f>COUNT(Data)</f>
        <v>16</v>
      </c>
      <c r="AZ173" s="118"/>
    </row>
    <row r="174" spans="9:52" x14ac:dyDescent="0.25">
      <c r="I174" s="34"/>
      <c r="J174" s="34"/>
      <c r="K174" s="250"/>
      <c r="L174" s="250"/>
      <c r="M174" s="250"/>
      <c r="N174" s="250"/>
      <c r="O174" s="250"/>
      <c r="P174" s="250"/>
      <c r="Q174" s="250"/>
      <c r="R174" s="250"/>
      <c r="S174" s="118"/>
      <c r="T174" s="36"/>
      <c r="AO174" s="116"/>
      <c r="AP174" s="117"/>
      <c r="AQ174" s="119">
        <f ca="1">INDEX(market,RANDBETWEEN(1,ROWS(market)),RANDBETWEEN(1,COLUMNS(market)))</f>
        <v>269</v>
      </c>
      <c r="AR174" s="119">
        <v>310</v>
      </c>
      <c r="AS174" s="119">
        <v>310</v>
      </c>
      <c r="AT174" s="120"/>
      <c r="AU174" s="117"/>
      <c r="AV174" s="163" t="s">
        <v>123</v>
      </c>
      <c r="AW174" s="164"/>
      <c r="AX174" s="165"/>
      <c r="AY174" s="167">
        <f>AY172/AY173</f>
        <v>0.375</v>
      </c>
      <c r="AZ174" s="118"/>
    </row>
    <row r="175" spans="9:52" x14ac:dyDescent="0.25">
      <c r="I175" s="34"/>
      <c r="J175" s="34"/>
      <c r="K175" s="250"/>
      <c r="L175" s="250"/>
      <c r="M175" s="250"/>
      <c r="N175" s="250"/>
      <c r="O175" s="250"/>
      <c r="P175" s="250"/>
      <c r="Q175" s="250"/>
      <c r="R175" s="250"/>
      <c r="S175" s="118"/>
      <c r="T175" s="36"/>
      <c r="AO175" s="116"/>
      <c r="AP175" s="117"/>
      <c r="AQ175" s="119">
        <f ca="1">INDEX(market,RANDBETWEEN(1,ROWS(market)),RANDBETWEEN(1,COLUMNS(market)))</f>
        <v>529</v>
      </c>
      <c r="AR175" s="119">
        <v>297</v>
      </c>
      <c r="AS175" s="119">
        <v>419</v>
      </c>
      <c r="AT175" s="120"/>
      <c r="AU175" s="117"/>
      <c r="AV175" s="117"/>
      <c r="AW175" s="117"/>
      <c r="AX175" s="117"/>
      <c r="AY175" s="117"/>
      <c r="AZ175" s="118"/>
    </row>
    <row r="176" spans="9:52" x14ac:dyDescent="0.25">
      <c r="I176" s="34"/>
      <c r="J176" s="34"/>
      <c r="K176" s="250"/>
      <c r="L176" s="250"/>
      <c r="M176" s="250"/>
      <c r="N176" s="250"/>
      <c r="O176" s="250"/>
      <c r="P176" s="250"/>
      <c r="Q176" s="250"/>
      <c r="R176" s="250"/>
      <c r="S176" s="118"/>
      <c r="T176" s="36"/>
      <c r="AO176" s="116"/>
      <c r="AP176" s="117"/>
      <c r="AQ176" s="119">
        <f ca="1">INDEX(market,RANDBETWEEN(1,ROWS(market)),RANDBETWEEN(1,COLUMNS(market)))</f>
        <v>310</v>
      </c>
      <c r="AR176" s="119">
        <v>244.64</v>
      </c>
      <c r="AS176" s="119">
        <v>190</v>
      </c>
      <c r="AT176" s="120"/>
      <c r="AU176" s="117"/>
      <c r="AV176" s="117"/>
      <c r="AW176" s="117"/>
      <c r="AX176" s="117"/>
      <c r="AY176" s="117"/>
      <c r="AZ176" s="118"/>
    </row>
    <row r="177" spans="9:52" x14ac:dyDescent="0.25">
      <c r="I177" s="34"/>
      <c r="J177" s="34"/>
      <c r="K177" s="250"/>
      <c r="L177" s="250"/>
      <c r="M177" s="250"/>
      <c r="N177" s="250"/>
      <c r="O177" s="250"/>
      <c r="P177" s="250"/>
      <c r="Q177" s="250"/>
      <c r="R177" s="250"/>
      <c r="S177" s="118"/>
      <c r="T177" s="36"/>
      <c r="AO177" s="116"/>
      <c r="AP177" s="117"/>
      <c r="AQ177" s="119">
        <f ca="1">INDEX(market,RANDBETWEEN(1,ROWS(market)),RANDBETWEEN(1,COLUMNS(market)))</f>
        <v>188</v>
      </c>
      <c r="AR177" s="119">
        <v>188</v>
      </c>
      <c r="AS177" s="119">
        <v>369</v>
      </c>
      <c r="AT177" s="120"/>
      <c r="AU177" s="117"/>
      <c r="AV177" s="117"/>
      <c r="AW177" s="117"/>
      <c r="AX177" s="117"/>
      <c r="AY177" s="117"/>
      <c r="AZ177" s="118"/>
    </row>
    <row r="178" spans="9:52" x14ac:dyDescent="0.25">
      <c r="I178" s="34"/>
      <c r="J178" s="34"/>
      <c r="K178" s="250"/>
      <c r="L178" s="253" t="s">
        <v>68</v>
      </c>
      <c r="M178" s="250"/>
      <c r="N178" s="250"/>
      <c r="O178" s="250"/>
      <c r="P178" s="250"/>
      <c r="Q178" s="250"/>
      <c r="R178" s="250"/>
      <c r="S178" s="118"/>
      <c r="T178" s="36"/>
      <c r="AO178" s="116"/>
      <c r="AP178" s="117"/>
      <c r="AQ178" s="117"/>
      <c r="AR178" s="117"/>
      <c r="AS178" s="117"/>
      <c r="AT178" s="117"/>
      <c r="AU178" s="117"/>
      <c r="AV178" s="117"/>
      <c r="AW178" s="117"/>
      <c r="AX178" s="117"/>
      <c r="AY178" s="117"/>
      <c r="AZ178" s="118"/>
    </row>
    <row r="179" spans="9:52" x14ac:dyDescent="0.25">
      <c r="I179" s="34"/>
      <c r="J179" s="34"/>
      <c r="K179" s="250"/>
      <c r="L179" s="250"/>
      <c r="M179" s="250"/>
      <c r="N179" s="250" t="s">
        <v>64</v>
      </c>
      <c r="O179" s="250"/>
      <c r="P179" s="250"/>
      <c r="Q179" s="250"/>
      <c r="R179" s="250"/>
      <c r="S179" s="118"/>
      <c r="T179" s="36"/>
      <c r="AO179" s="116"/>
      <c r="AP179" s="132"/>
      <c r="AQ179" s="133" t="s">
        <v>53</v>
      </c>
      <c r="AR179" s="132"/>
      <c r="AS179" s="132"/>
      <c r="AT179" s="117"/>
      <c r="AU179" s="117"/>
      <c r="AV179" s="117"/>
      <c r="AW179" s="117"/>
      <c r="AX179" s="117"/>
      <c r="AY179" s="117"/>
      <c r="AZ179" s="118"/>
    </row>
    <row r="180" spans="9:52" x14ac:dyDescent="0.25">
      <c r="I180" s="34"/>
      <c r="J180" s="34"/>
      <c r="K180" s="250"/>
      <c r="L180" s="251" t="s">
        <v>65</v>
      </c>
      <c r="M180" s="252">
        <f>CORREL(market,C6:C23)</f>
        <v>0.82420791403181171</v>
      </c>
      <c r="N180" s="250"/>
      <c r="O180" s="250"/>
      <c r="P180" s="250"/>
      <c r="Q180" s="250"/>
      <c r="R180" s="250"/>
      <c r="S180" s="118"/>
      <c r="T180" s="36"/>
      <c r="AO180" s="116"/>
      <c r="AP180" s="117"/>
      <c r="AQ180" s="134" t="s">
        <v>15</v>
      </c>
      <c r="AR180" s="119">
        <f>AVERAGE(AR168:AR177)</f>
        <v>276.11399999999998</v>
      </c>
      <c r="AS180" s="135">
        <f>AVERAGE(AS168:AS177)</f>
        <v>328.44</v>
      </c>
      <c r="AT180" s="117"/>
      <c r="AU180" s="117"/>
      <c r="AV180" s="117"/>
      <c r="AW180" s="117"/>
      <c r="AX180" s="117"/>
      <c r="AY180" s="117"/>
      <c r="AZ180" s="118"/>
    </row>
    <row r="181" spans="9:52" x14ac:dyDescent="0.25">
      <c r="I181" s="34"/>
      <c r="J181" s="34"/>
      <c r="K181" s="250"/>
      <c r="L181" s="251" t="s">
        <v>66</v>
      </c>
      <c r="M181" s="252">
        <f>COVAR(market,C6:C23)</f>
        <v>202450.87191358025</v>
      </c>
      <c r="N181" s="250"/>
      <c r="O181" s="250"/>
      <c r="P181" s="250"/>
      <c r="Q181" s="250"/>
      <c r="R181" s="250"/>
      <c r="S181" s="118"/>
      <c r="T181" s="36"/>
      <c r="AO181" s="116"/>
      <c r="AP181" s="117"/>
      <c r="AQ181" s="136" t="s">
        <v>16</v>
      </c>
      <c r="AR181" s="137">
        <f>STDEV(AR168:AR177)</f>
        <v>74.817978855352678</v>
      </c>
      <c r="AS181" s="138">
        <f>STDEV(AS168:AS177)</f>
        <v>91.53616407373282</v>
      </c>
      <c r="AT181" s="117"/>
      <c r="AU181" s="117"/>
      <c r="AV181" s="117"/>
      <c r="AW181" s="117"/>
      <c r="AX181" s="117"/>
      <c r="AY181" s="117"/>
      <c r="AZ181" s="118"/>
    </row>
    <row r="182" spans="9:52" x14ac:dyDescent="0.25">
      <c r="I182" s="34"/>
      <c r="J182" s="34"/>
      <c r="K182" s="250"/>
      <c r="L182" s="251"/>
      <c r="M182" s="252"/>
      <c r="N182" s="250"/>
      <c r="O182" s="250"/>
      <c r="P182" s="250"/>
      <c r="Q182" s="250"/>
      <c r="R182" s="250"/>
      <c r="S182" s="118"/>
      <c r="T182" s="36"/>
      <c r="AO182" s="116"/>
      <c r="AP182" s="117"/>
      <c r="AQ182" s="136" t="s">
        <v>36</v>
      </c>
      <c r="AR182" s="136">
        <v>320</v>
      </c>
      <c r="AS182" s="131">
        <v>320</v>
      </c>
      <c r="AT182" s="117"/>
      <c r="AU182" s="117"/>
      <c r="AV182" s="117"/>
      <c r="AW182" s="117"/>
      <c r="AX182" s="117"/>
      <c r="AY182" s="117"/>
      <c r="AZ182" s="118"/>
    </row>
    <row r="183" spans="9:52" x14ac:dyDescent="0.25">
      <c r="I183" s="34"/>
      <c r="J183" s="34"/>
      <c r="K183" s="250"/>
      <c r="L183" s="250"/>
      <c r="M183" s="250"/>
      <c r="N183" s="250"/>
      <c r="O183" s="250"/>
      <c r="P183" s="250"/>
      <c r="Q183" s="250"/>
      <c r="R183" s="250"/>
      <c r="S183" s="118"/>
      <c r="T183" s="36"/>
      <c r="AO183" s="116"/>
      <c r="AP183" s="117"/>
      <c r="AQ183" s="136" t="s">
        <v>37</v>
      </c>
      <c r="AR183" s="137">
        <f>(AR182-AR180)/AR181</f>
        <v>0.58657024249272816</v>
      </c>
      <c r="AS183" s="138">
        <f>(AS182-AS180)/AS181</f>
        <v>-9.2203994840788145E-2</v>
      </c>
      <c r="AT183" s="117"/>
      <c r="AU183" s="117"/>
      <c r="AV183" s="117"/>
      <c r="AW183" s="117"/>
      <c r="AX183" s="117"/>
      <c r="AY183" s="117"/>
      <c r="AZ183" s="118"/>
    </row>
    <row r="184" spans="9:52" x14ac:dyDescent="0.25">
      <c r="I184" s="34"/>
      <c r="J184" s="34"/>
      <c r="K184" s="250"/>
      <c r="L184" s="250"/>
      <c r="M184" s="250"/>
      <c r="N184" s="250"/>
      <c r="O184" s="250"/>
      <c r="P184" s="250"/>
      <c r="Q184" s="250"/>
      <c r="R184" s="250"/>
      <c r="S184" s="118"/>
      <c r="T184" s="36"/>
      <c r="AO184" s="116"/>
      <c r="AP184" s="117"/>
      <c r="AQ184" s="139" t="s">
        <v>62</v>
      </c>
      <c r="AR184" s="140">
        <f>1-_xlfn.T.DIST(AR183,AR188-1,1)</f>
        <v>0.28595463646729835</v>
      </c>
      <c r="AS184" s="141">
        <f>1-_xlfn.T.DIST(AS183,AS188-1,1)</f>
        <v>0.53572213611184361</v>
      </c>
      <c r="AT184" s="117"/>
      <c r="AU184" s="117"/>
      <c r="AV184" s="117"/>
      <c r="AW184" s="117"/>
      <c r="AX184" s="117"/>
      <c r="AY184" s="117"/>
      <c r="AZ184" s="118"/>
    </row>
    <row r="185" spans="9:52" x14ac:dyDescent="0.25">
      <c r="I185" s="34"/>
      <c r="J185" s="34"/>
      <c r="K185" s="250"/>
      <c r="L185" s="250"/>
      <c r="M185" s="250"/>
      <c r="N185" s="250"/>
      <c r="O185" s="250"/>
      <c r="P185" s="250"/>
      <c r="Q185" s="250"/>
      <c r="R185" s="250"/>
      <c r="S185" s="118"/>
      <c r="T185" s="36"/>
      <c r="AO185" s="116"/>
      <c r="AP185" s="117"/>
      <c r="AQ185" s="117"/>
      <c r="AR185" s="142"/>
      <c r="AS185" s="117"/>
      <c r="AT185" s="117"/>
      <c r="AU185" s="117"/>
      <c r="AV185" s="117"/>
      <c r="AW185" s="117"/>
      <c r="AX185" s="117"/>
      <c r="AY185" s="117"/>
      <c r="AZ185" s="118"/>
    </row>
    <row r="186" spans="9:52" x14ac:dyDescent="0.25">
      <c r="I186" s="34"/>
      <c r="J186" s="34"/>
      <c r="K186" s="250"/>
      <c r="L186" s="250"/>
      <c r="M186" s="250"/>
      <c r="N186" s="250"/>
      <c r="O186" s="250"/>
      <c r="P186" s="250"/>
      <c r="Q186" s="250"/>
      <c r="R186" s="250"/>
      <c r="S186" s="118"/>
      <c r="T186" s="36"/>
      <c r="AO186" s="116"/>
      <c r="AP186" s="117"/>
      <c r="AQ186" s="143"/>
      <c r="AR186" s="144" t="s">
        <v>54</v>
      </c>
      <c r="AS186" s="145" t="s">
        <v>55</v>
      </c>
      <c r="AT186" s="117"/>
      <c r="AU186" s="117"/>
      <c r="AV186" s="117"/>
      <c r="AW186" s="117"/>
      <c r="AX186" s="117"/>
      <c r="AY186" s="117"/>
      <c r="AZ186" s="118"/>
    </row>
    <row r="187" spans="9:52" x14ac:dyDescent="0.25">
      <c r="I187" s="34"/>
      <c r="J187" s="34"/>
      <c r="K187" s="250"/>
      <c r="L187" s="250" t="s">
        <v>69</v>
      </c>
      <c r="M187" s="250"/>
      <c r="N187" s="250"/>
      <c r="O187" s="250"/>
      <c r="P187" s="250"/>
      <c r="Q187" s="250"/>
      <c r="R187" s="250"/>
      <c r="S187" s="118"/>
      <c r="T187" s="36"/>
      <c r="AO187" s="116"/>
      <c r="AP187" s="117"/>
      <c r="AQ187" s="134" t="s">
        <v>63</v>
      </c>
      <c r="AR187" s="134">
        <f>COUNTIF(AR168:AR177,"&gt;320")</f>
        <v>1</v>
      </c>
      <c r="AS187" s="124">
        <f>COUNTIF(AS168:AS177,"&gt;320")</f>
        <v>4</v>
      </c>
      <c r="AT187" s="117"/>
      <c r="AU187" s="117"/>
      <c r="AV187" s="117"/>
      <c r="AW187" s="117"/>
      <c r="AX187" s="117"/>
      <c r="AY187" s="117"/>
      <c r="AZ187" s="118"/>
    </row>
    <row r="188" spans="9:52" ht="15.75" thickBot="1" x14ac:dyDescent="0.3">
      <c r="I188" s="40"/>
      <c r="J188" s="40"/>
      <c r="K188" s="190"/>
      <c r="L188" s="190" t="s">
        <v>70</v>
      </c>
      <c r="M188" s="190"/>
      <c r="N188" s="190"/>
      <c r="O188" s="190"/>
      <c r="P188" s="190"/>
      <c r="Q188" s="190"/>
      <c r="R188" s="190"/>
      <c r="S188" s="191"/>
      <c r="T188" s="37"/>
      <c r="AO188" s="116"/>
      <c r="AP188" s="117"/>
      <c r="AQ188" s="136" t="s">
        <v>40</v>
      </c>
      <c r="AR188" s="136">
        <f>COUNT(AR168:AR177)</f>
        <v>10</v>
      </c>
      <c r="AS188" s="131">
        <f>COUNT(AS168:AS177)</f>
        <v>10</v>
      </c>
      <c r="AT188" s="117"/>
      <c r="AU188" s="117"/>
      <c r="AV188" s="117"/>
      <c r="AW188" s="117"/>
      <c r="AX188" s="117"/>
      <c r="AY188" s="117"/>
      <c r="AZ188" s="118"/>
    </row>
    <row r="189" spans="9:52" ht="45" x14ac:dyDescent="0.25">
      <c r="AO189" s="116"/>
      <c r="AP189" s="117"/>
      <c r="AQ189" s="146" t="s">
        <v>123</v>
      </c>
      <c r="AR189" s="147">
        <f>AR187/AR188</f>
        <v>0.1</v>
      </c>
      <c r="AS189" s="148">
        <f>AS187/AS188</f>
        <v>0.4</v>
      </c>
      <c r="AT189" s="117"/>
      <c r="AU189" s="117"/>
      <c r="AV189" s="117"/>
      <c r="AW189" s="117"/>
      <c r="AX189" s="117"/>
      <c r="AY189" s="117"/>
      <c r="AZ189" s="118"/>
    </row>
    <row r="190" spans="9:52" x14ac:dyDescent="0.25">
      <c r="AO190" s="116"/>
      <c r="AP190" s="117"/>
      <c r="AQ190" s="149"/>
      <c r="AR190" s="136"/>
      <c r="AS190" s="130"/>
      <c r="AT190" s="117"/>
      <c r="AU190" s="117"/>
      <c r="AV190" s="117"/>
      <c r="AW190" s="117"/>
      <c r="AX190" s="117"/>
      <c r="AY190" s="117"/>
      <c r="AZ190" s="118"/>
    </row>
    <row r="191" spans="9:52" x14ac:dyDescent="0.25">
      <c r="AO191" s="116"/>
      <c r="AP191" s="117"/>
      <c r="AQ191" s="136" t="s">
        <v>15</v>
      </c>
      <c r="AR191" s="150">
        <f>AY174</f>
        <v>0.375</v>
      </c>
      <c r="AS191" s="151"/>
      <c r="AT191" s="117"/>
      <c r="AU191" s="117"/>
      <c r="AV191" s="117"/>
      <c r="AW191" s="117"/>
      <c r="AX191" s="117"/>
      <c r="AY191" s="117"/>
      <c r="AZ191" s="118"/>
    </row>
    <row r="192" spans="9:52" x14ac:dyDescent="0.25">
      <c r="AO192" s="116"/>
      <c r="AP192" s="117"/>
      <c r="AQ192" s="136" t="s">
        <v>16</v>
      </c>
      <c r="AR192" s="150">
        <f>SQRT(AR191*(1-AR191)/AR188)</f>
        <v>0.15309310892394862</v>
      </c>
      <c r="AS192" s="151"/>
      <c r="AT192" s="117"/>
      <c r="AU192" s="117"/>
      <c r="AV192" s="117"/>
      <c r="AW192" s="117"/>
      <c r="AX192" s="117"/>
      <c r="AY192" s="117"/>
      <c r="AZ192" s="118"/>
    </row>
    <row r="193" spans="41:52" x14ac:dyDescent="0.25">
      <c r="AO193" s="116"/>
      <c r="AP193" s="117"/>
      <c r="AQ193" s="136" t="s">
        <v>134</v>
      </c>
      <c r="AR193" s="147">
        <f>AR189</f>
        <v>0.1</v>
      </c>
      <c r="AS193" s="152">
        <f>AS189</f>
        <v>0.4</v>
      </c>
      <c r="AT193" s="117"/>
      <c r="AU193" s="117"/>
      <c r="AV193" s="117"/>
      <c r="AW193" s="117"/>
      <c r="AX193" s="117"/>
      <c r="AY193" s="117"/>
      <c r="AZ193" s="118"/>
    </row>
    <row r="194" spans="41:52" x14ac:dyDescent="0.25">
      <c r="AO194" s="116"/>
      <c r="AP194" s="117"/>
      <c r="AQ194" s="168" t="s">
        <v>37</v>
      </c>
      <c r="AR194" s="169">
        <f>(AR193-AR191)/AR192</f>
        <v>-1.7962924780409977</v>
      </c>
      <c r="AS194" s="170">
        <f>(AS193-AR191)/AR192</f>
        <v>0.16329931618554536</v>
      </c>
      <c r="AT194" s="117"/>
      <c r="AU194" s="117"/>
      <c r="AV194" s="117"/>
      <c r="AW194" s="117"/>
      <c r="AX194" s="117"/>
      <c r="AY194" s="117"/>
      <c r="AZ194" s="118"/>
    </row>
    <row r="195" spans="41:52" x14ac:dyDescent="0.25">
      <c r="AO195" s="116"/>
      <c r="AP195" s="117"/>
      <c r="AQ195" s="117"/>
      <c r="AR195" s="117"/>
      <c r="AS195" s="117"/>
      <c r="AT195" s="117"/>
      <c r="AU195" s="117"/>
      <c r="AV195" s="117"/>
      <c r="AW195" s="117"/>
      <c r="AX195" s="117"/>
      <c r="AY195" s="117"/>
      <c r="AZ195" s="118"/>
    </row>
    <row r="196" spans="41:52" x14ac:dyDescent="0.25">
      <c r="AO196" s="116"/>
      <c r="AP196" s="126" t="s">
        <v>111</v>
      </c>
      <c r="AQ196" s="126"/>
      <c r="AR196" s="126"/>
      <c r="AS196" s="126"/>
      <c r="AT196" s="126"/>
      <c r="AU196" s="117"/>
      <c r="AV196" s="117"/>
      <c r="AW196" s="117"/>
      <c r="AX196" s="117"/>
      <c r="AY196" s="117"/>
      <c r="AZ196" s="118"/>
    </row>
    <row r="197" spans="41:52" x14ac:dyDescent="0.25">
      <c r="AO197" s="116"/>
      <c r="AP197" s="126" t="s">
        <v>57</v>
      </c>
      <c r="AQ197" s="126"/>
      <c r="AR197" s="126"/>
      <c r="AS197" s="126"/>
      <c r="AT197" s="117"/>
      <c r="AU197" s="117"/>
      <c r="AV197" s="117"/>
      <c r="AW197" s="117"/>
      <c r="AX197" s="117"/>
      <c r="AY197" s="117"/>
      <c r="AZ197" s="118"/>
    </row>
    <row r="198" spans="41:52" x14ac:dyDescent="0.25">
      <c r="AO198" s="116"/>
      <c r="AP198" s="117"/>
      <c r="AQ198" s="117"/>
      <c r="AR198" s="117"/>
      <c r="AS198" s="117"/>
      <c r="AT198" s="117"/>
      <c r="AU198" s="117"/>
      <c r="AV198" s="117"/>
      <c r="AW198" s="117"/>
      <c r="AX198" s="117"/>
      <c r="AY198" s="117"/>
      <c r="AZ198" s="118"/>
    </row>
    <row r="199" spans="41:52" x14ac:dyDescent="0.25">
      <c r="AO199" s="116"/>
      <c r="AP199" s="117"/>
      <c r="AQ199" s="153" t="s">
        <v>58</v>
      </c>
      <c r="AR199" s="154"/>
      <c r="AS199" s="155"/>
      <c r="AT199" s="117"/>
      <c r="AU199" s="117"/>
      <c r="AV199" s="117"/>
      <c r="AW199" s="117"/>
      <c r="AX199" s="117"/>
      <c r="AY199" s="117"/>
      <c r="AZ199" s="118"/>
    </row>
    <row r="200" spans="41:52" x14ac:dyDescent="0.25">
      <c r="AO200" s="116"/>
      <c r="AP200" s="117"/>
      <c r="AQ200" s="136" t="s">
        <v>28</v>
      </c>
      <c r="AR200" s="156">
        <v>0.95</v>
      </c>
      <c r="AS200" s="157"/>
      <c r="AT200" s="117"/>
      <c r="AU200" s="117"/>
      <c r="AV200" s="117"/>
      <c r="AW200" s="117"/>
      <c r="AX200" s="117"/>
      <c r="AY200" s="117"/>
      <c r="AZ200" s="118"/>
    </row>
    <row r="201" spans="41:52" x14ac:dyDescent="0.25">
      <c r="AO201" s="116"/>
      <c r="AP201" s="117"/>
      <c r="AQ201" s="136" t="s">
        <v>59</v>
      </c>
      <c r="AR201" s="156">
        <f>1-AR200</f>
        <v>5.0000000000000044E-2</v>
      </c>
      <c r="AS201" s="157"/>
      <c r="AT201" s="117"/>
      <c r="AU201" s="117"/>
      <c r="AV201" s="117"/>
      <c r="AW201" s="117"/>
      <c r="AX201" s="117"/>
      <c r="AY201" s="117"/>
      <c r="AZ201" s="118"/>
    </row>
    <row r="202" spans="41:52" x14ac:dyDescent="0.25">
      <c r="AO202" s="116"/>
      <c r="AP202" s="117"/>
      <c r="AQ202" s="136" t="s">
        <v>135</v>
      </c>
      <c r="AR202" s="158">
        <f>AR201/2</f>
        <v>2.5000000000000022E-2</v>
      </c>
      <c r="AS202" s="159"/>
      <c r="AT202" s="117"/>
      <c r="AU202" s="117"/>
      <c r="AV202" s="117"/>
      <c r="AW202" s="117"/>
      <c r="AX202" s="117"/>
      <c r="AY202" s="117"/>
      <c r="AZ202" s="118"/>
    </row>
    <row r="203" spans="41:52" x14ac:dyDescent="0.25">
      <c r="AO203" s="116"/>
      <c r="AP203" s="117"/>
      <c r="AQ203" s="136" t="s">
        <v>136</v>
      </c>
      <c r="AR203" s="158">
        <f>1-AR202</f>
        <v>0.97499999999999998</v>
      </c>
      <c r="AS203" s="159"/>
      <c r="AT203" s="117"/>
      <c r="AU203" s="117"/>
      <c r="AV203" s="117"/>
      <c r="AW203" s="117"/>
      <c r="AX203" s="117"/>
      <c r="AY203" s="117"/>
      <c r="AZ203" s="118"/>
    </row>
    <row r="204" spans="41:52" ht="18" x14ac:dyDescent="0.35">
      <c r="AO204" s="116"/>
      <c r="AP204" s="117"/>
      <c r="AQ204" s="136" t="s">
        <v>137</v>
      </c>
      <c r="AR204" s="160">
        <f>_xlfn.T.INV(AR202,AR188-1)</f>
        <v>-2.2621571627982049</v>
      </c>
      <c r="AS204" s="161"/>
      <c r="AT204" s="117"/>
      <c r="AU204" s="117"/>
      <c r="AV204" s="117"/>
      <c r="AW204" s="117"/>
      <c r="AX204" s="117"/>
      <c r="AY204" s="117"/>
      <c r="AZ204" s="118"/>
    </row>
    <row r="205" spans="41:52" ht="18" x14ac:dyDescent="0.35">
      <c r="AO205" s="116"/>
      <c r="AP205" s="117"/>
      <c r="AQ205" s="136" t="s">
        <v>138</v>
      </c>
      <c r="AR205" s="160">
        <f>_xlfn.T.INV(AR203,AR188-1)</f>
        <v>2.2621571627982049</v>
      </c>
      <c r="AS205" s="161"/>
      <c r="AT205" s="117"/>
      <c r="AU205" s="117"/>
      <c r="AV205" s="117"/>
      <c r="AW205" s="117"/>
      <c r="AX205" s="117"/>
      <c r="AY205" s="117"/>
      <c r="AZ205" s="118"/>
    </row>
    <row r="206" spans="41:52" x14ac:dyDescent="0.25">
      <c r="AO206" s="116"/>
      <c r="AP206" s="117"/>
      <c r="AQ206" s="171" t="s">
        <v>34</v>
      </c>
      <c r="AR206" s="172">
        <f>AR204*AR181+AR180</f>
        <v>106.86397322627928</v>
      </c>
      <c r="AS206" s="173">
        <f>AS204*AS181+AS180</f>
        <v>328.44</v>
      </c>
      <c r="AT206" s="117"/>
      <c r="AU206" s="117"/>
      <c r="AV206" s="117"/>
      <c r="AW206" s="117"/>
      <c r="AX206" s="117"/>
      <c r="AY206" s="117"/>
      <c r="AZ206" s="118"/>
    </row>
    <row r="207" spans="41:52" x14ac:dyDescent="0.25">
      <c r="AO207" s="116"/>
      <c r="AP207" s="117"/>
      <c r="AQ207" s="168" t="s">
        <v>35</v>
      </c>
      <c r="AR207" s="174">
        <f>AR205*AR181+AR180</f>
        <v>445.36402677372064</v>
      </c>
      <c r="AS207" s="175">
        <f>AR205*AS181+AS180</f>
        <v>535.50918921446646</v>
      </c>
      <c r="AT207" s="117"/>
      <c r="AU207" s="117"/>
      <c r="AV207" s="117"/>
      <c r="AW207" s="117"/>
      <c r="AX207" s="117"/>
      <c r="AY207" s="117"/>
      <c r="AZ207" s="118"/>
    </row>
    <row r="208" spans="41:52" x14ac:dyDescent="0.25">
      <c r="AO208" s="116"/>
      <c r="AP208" s="117"/>
      <c r="AQ208" s="117"/>
      <c r="AR208" s="117"/>
      <c r="AS208" s="117"/>
      <c r="AT208" s="117"/>
      <c r="AU208" s="117"/>
      <c r="AV208" s="117"/>
      <c r="AW208" s="117"/>
      <c r="AX208" s="117"/>
      <c r="AY208" s="117"/>
      <c r="AZ208" s="118"/>
    </row>
    <row r="209" spans="41:52" x14ac:dyDescent="0.25">
      <c r="AO209" s="116"/>
      <c r="AP209" s="126" t="s">
        <v>139</v>
      </c>
      <c r="AQ209" s="126"/>
      <c r="AR209" s="126"/>
      <c r="AS209" s="126"/>
      <c r="AT209" s="126"/>
      <c r="AU209" s="126"/>
      <c r="AV209" s="126"/>
      <c r="AW209" s="117"/>
      <c r="AX209" s="117"/>
      <c r="AY209" s="117"/>
      <c r="AZ209" s="118"/>
    </row>
    <row r="210" spans="41:52" x14ac:dyDescent="0.25">
      <c r="AO210" s="116"/>
      <c r="AP210" s="126" t="s">
        <v>181</v>
      </c>
      <c r="AQ210" s="126"/>
      <c r="AR210" s="126"/>
      <c r="AS210" s="126"/>
      <c r="AT210" s="126"/>
      <c r="AU210" s="126"/>
      <c r="AV210" s="126"/>
      <c r="AW210" s="117"/>
      <c r="AX210" s="117"/>
      <c r="AY210" s="117"/>
      <c r="AZ210" s="118"/>
    </row>
    <row r="211" spans="41:52" x14ac:dyDescent="0.25">
      <c r="AO211" s="116"/>
      <c r="AP211" s="126"/>
      <c r="AQ211" s="126"/>
      <c r="AR211" s="126"/>
      <c r="AS211" s="126"/>
      <c r="AT211" s="126"/>
      <c r="AU211" s="126"/>
      <c r="AV211" s="126"/>
      <c r="AW211" s="117"/>
      <c r="AX211" s="117"/>
      <c r="AY211" s="117"/>
      <c r="AZ211" s="118"/>
    </row>
    <row r="212" spans="41:52" x14ac:dyDescent="0.25">
      <c r="AO212" s="116"/>
      <c r="AP212" s="126"/>
      <c r="AQ212" s="126"/>
      <c r="AR212" s="126"/>
      <c r="AS212" s="126"/>
      <c r="AT212" s="126"/>
      <c r="AU212" s="126"/>
      <c r="AV212" s="126"/>
      <c r="AW212" s="117"/>
      <c r="AX212" s="117"/>
      <c r="AY212" s="117"/>
      <c r="AZ212" s="118"/>
    </row>
    <row r="213" spans="41:52" ht="15.75" thickBot="1" x14ac:dyDescent="0.3">
      <c r="AO213" s="40"/>
      <c r="AP213" s="15"/>
      <c r="AQ213" s="15"/>
      <c r="AR213" s="15"/>
      <c r="AS213" s="15"/>
      <c r="AT213" s="15"/>
      <c r="AU213" s="15"/>
      <c r="AV213" s="15"/>
      <c r="AW213" s="15"/>
      <c r="AX213" s="65"/>
      <c r="AY213" s="15"/>
      <c r="AZ213" s="37"/>
    </row>
    <row r="215" spans="41:52" ht="15.75" thickBot="1" x14ac:dyDescent="0.3"/>
    <row r="216" spans="41:52" x14ac:dyDescent="0.25">
      <c r="AO216" s="113"/>
      <c r="AP216" s="176" t="s">
        <v>165</v>
      </c>
      <c r="AQ216" s="114"/>
      <c r="AR216" s="114"/>
      <c r="AS216" s="114"/>
      <c r="AT216" s="114"/>
      <c r="AU216" s="114"/>
      <c r="AV216" s="114"/>
      <c r="AW216" s="115"/>
    </row>
    <row r="217" spans="41:52" x14ac:dyDescent="0.25">
      <c r="AO217" s="116"/>
      <c r="AP217" s="117"/>
      <c r="AQ217" s="117"/>
      <c r="AR217" s="117"/>
      <c r="AS217" s="117"/>
      <c r="AT217" s="117"/>
      <c r="AU217" s="117"/>
      <c r="AV217" s="117"/>
      <c r="AW217" s="118"/>
    </row>
    <row r="218" spans="41:52" ht="18" x14ac:dyDescent="0.35">
      <c r="AO218" s="116"/>
      <c r="AP218" s="196" t="s">
        <v>112</v>
      </c>
      <c r="AQ218" s="117"/>
      <c r="AR218" s="134" t="s">
        <v>140</v>
      </c>
      <c r="AS218" s="177" t="s">
        <v>148</v>
      </c>
      <c r="AT218" s="117"/>
      <c r="AU218" s="117"/>
      <c r="AV218" s="117"/>
      <c r="AW218" s="118"/>
    </row>
    <row r="219" spans="41:52" ht="18" x14ac:dyDescent="0.35">
      <c r="AO219" s="116"/>
      <c r="AP219" s="137">
        <v>310</v>
      </c>
      <c r="AQ219" s="117"/>
      <c r="AR219" s="139" t="s">
        <v>141</v>
      </c>
      <c r="AS219" s="178" t="s">
        <v>149</v>
      </c>
      <c r="AT219" s="117"/>
      <c r="AU219" s="117"/>
      <c r="AV219" s="117"/>
      <c r="AW219" s="118"/>
    </row>
    <row r="220" spans="41:52" x14ac:dyDescent="0.25">
      <c r="AO220" s="116"/>
      <c r="AP220" s="137">
        <v>182.5</v>
      </c>
      <c r="AQ220" s="117"/>
      <c r="AR220" s="179"/>
      <c r="AS220" s="179"/>
      <c r="AT220" s="117"/>
      <c r="AU220" s="117"/>
      <c r="AV220" s="117"/>
      <c r="AW220" s="118"/>
    </row>
    <row r="221" spans="41:52" x14ac:dyDescent="0.25">
      <c r="AO221" s="116"/>
      <c r="AP221" s="137">
        <v>297</v>
      </c>
      <c r="AQ221" s="117"/>
      <c r="AR221" s="134" t="s">
        <v>115</v>
      </c>
      <c r="AS221" s="124">
        <f>COUNT(AP219:AP233)</f>
        <v>15</v>
      </c>
      <c r="AT221" s="117"/>
      <c r="AU221" s="117"/>
      <c r="AV221" s="117"/>
      <c r="AW221" s="118"/>
    </row>
    <row r="222" spans="41:52" x14ac:dyDescent="0.25">
      <c r="AO222" s="116"/>
      <c r="AP222" s="137">
        <v>190</v>
      </c>
      <c r="AQ222" s="117"/>
      <c r="AR222" s="136" t="s">
        <v>142</v>
      </c>
      <c r="AS222" s="138">
        <f>AVERAGE(AP219:AP233)</f>
        <v>315.66666666666669</v>
      </c>
      <c r="AT222" s="117"/>
      <c r="AU222" s="117"/>
      <c r="AV222" s="117"/>
      <c r="AW222" s="118"/>
    </row>
    <row r="223" spans="41:52" x14ac:dyDescent="0.25">
      <c r="AO223" s="116"/>
      <c r="AP223" s="137">
        <v>529</v>
      </c>
      <c r="AQ223" s="117"/>
      <c r="AR223" s="180" t="s">
        <v>116</v>
      </c>
      <c r="AS223" s="131">
        <v>300</v>
      </c>
      <c r="AT223" s="117"/>
      <c r="AU223" s="117"/>
      <c r="AV223" s="117"/>
      <c r="AW223" s="118"/>
    </row>
    <row r="224" spans="41:52" x14ac:dyDescent="0.25">
      <c r="AO224" s="116"/>
      <c r="AP224" s="137">
        <v>285</v>
      </c>
      <c r="AQ224" s="117"/>
      <c r="AR224" s="180" t="s">
        <v>117</v>
      </c>
      <c r="AS224" s="138">
        <f>STDEV(AP219:AP233)</f>
        <v>139.06833018796851</v>
      </c>
      <c r="AT224" s="181"/>
      <c r="AU224" s="117"/>
      <c r="AV224" s="117"/>
      <c r="AW224" s="118"/>
    </row>
    <row r="225" spans="41:49" x14ac:dyDescent="0.25">
      <c r="AO225" s="116"/>
      <c r="AP225" s="137">
        <v>529</v>
      </c>
      <c r="AQ225" s="117"/>
      <c r="AR225" s="136" t="s">
        <v>118</v>
      </c>
      <c r="AS225" s="138">
        <f>AS224/SQRT(AS221)</f>
        <v>35.907288453525084</v>
      </c>
      <c r="AT225" s="117"/>
      <c r="AU225" s="182" t="s">
        <v>143</v>
      </c>
      <c r="AV225" s="117"/>
      <c r="AW225" s="118"/>
    </row>
    <row r="226" spans="41:49" x14ac:dyDescent="0.25">
      <c r="AO226" s="116"/>
      <c r="AP226" s="137">
        <v>244.64</v>
      </c>
      <c r="AQ226" s="117"/>
      <c r="AR226" s="136" t="s">
        <v>37</v>
      </c>
      <c r="AS226" s="192">
        <f>(AS222-AS223)/AS225</f>
        <v>0.43630882033724439</v>
      </c>
      <c r="AT226" s="117"/>
      <c r="AU226" s="117" t="s">
        <v>144</v>
      </c>
      <c r="AV226" s="117"/>
      <c r="AW226" s="118"/>
    </row>
    <row r="227" spans="41:49" x14ac:dyDescent="0.25">
      <c r="AO227" s="116"/>
      <c r="AP227" s="137">
        <v>615</v>
      </c>
      <c r="AQ227" s="117"/>
      <c r="AR227" s="136" t="s">
        <v>119</v>
      </c>
      <c r="AS227" s="193">
        <f>1-_xlfn.T.DIST(AS226,AS221-1,1)</f>
        <v>0.33463293749543344</v>
      </c>
      <c r="AT227" s="117"/>
      <c r="AU227" s="117" t="s">
        <v>120</v>
      </c>
      <c r="AV227" s="183"/>
      <c r="AW227" s="118"/>
    </row>
    <row r="228" spans="41:49" x14ac:dyDescent="0.25">
      <c r="AO228" s="116"/>
      <c r="AP228" s="137">
        <v>419</v>
      </c>
      <c r="AQ228" s="117"/>
      <c r="AR228" s="136" t="s">
        <v>119</v>
      </c>
      <c r="AS228" s="193">
        <f>1-NORMSDIST(AS226)</f>
        <v>0.33130634160649486</v>
      </c>
      <c r="AT228" s="117"/>
      <c r="AU228" s="117" t="s">
        <v>121</v>
      </c>
      <c r="AV228" s="117"/>
      <c r="AW228" s="118"/>
    </row>
    <row r="229" spans="41:49" x14ac:dyDescent="0.25">
      <c r="AO229" s="116"/>
      <c r="AP229" s="137">
        <v>221.99733333333299</v>
      </c>
      <c r="AQ229" s="142"/>
      <c r="AR229" s="136"/>
      <c r="AS229" s="194"/>
      <c r="AT229" s="117"/>
      <c r="AU229" s="117"/>
      <c r="AV229" s="117"/>
      <c r="AW229" s="118"/>
    </row>
    <row r="230" spans="41:49" x14ac:dyDescent="0.25">
      <c r="AO230" s="116"/>
      <c r="AP230" s="137">
        <v>224.38466666666699</v>
      </c>
      <c r="AQ230" s="117"/>
      <c r="AR230" s="180" t="s">
        <v>122</v>
      </c>
      <c r="AS230" s="195">
        <v>0.05</v>
      </c>
      <c r="AT230" s="117"/>
      <c r="AU230" s="117" t="s">
        <v>183</v>
      </c>
      <c r="AV230" s="117"/>
      <c r="AW230" s="118"/>
    </row>
    <row r="231" spans="41:49" ht="18" x14ac:dyDescent="0.35">
      <c r="AO231" s="116"/>
      <c r="AP231" s="137">
        <v>226.77199999999999</v>
      </c>
      <c r="AQ231" s="117"/>
      <c r="AR231" s="136" t="s">
        <v>145</v>
      </c>
      <c r="AS231" s="192">
        <f>1-_xlfn.T.INV(AS230,AS221-1)</f>
        <v>2.7613101357748921</v>
      </c>
      <c r="AT231" s="184"/>
      <c r="AU231" s="117"/>
      <c r="AV231" s="185"/>
      <c r="AW231" s="186"/>
    </row>
    <row r="232" spans="41:49" x14ac:dyDescent="0.25">
      <c r="AO232" s="116"/>
      <c r="AP232" s="137">
        <v>229.159333333333</v>
      </c>
      <c r="AQ232" s="117"/>
      <c r="AR232" s="139" t="s">
        <v>37</v>
      </c>
      <c r="AS232" s="175">
        <f>1-_xlfn.T.INV(AS227,AS221-1)</f>
        <v>1.4363088203372425</v>
      </c>
      <c r="AT232" s="184"/>
      <c r="AU232" s="117"/>
      <c r="AV232" s="117"/>
      <c r="AW232" s="118"/>
    </row>
    <row r="233" spans="41:49" ht="18" x14ac:dyDescent="0.35">
      <c r="AO233" s="116"/>
      <c r="AP233" s="187">
        <v>231.54666666666699</v>
      </c>
      <c r="AQ233" s="126" t="s">
        <v>146</v>
      </c>
      <c r="AR233" s="126"/>
      <c r="AS233" s="126"/>
      <c r="AT233" s="126"/>
      <c r="AU233" s="126"/>
      <c r="AV233" s="126"/>
      <c r="AW233" s="188"/>
    </row>
    <row r="234" spans="41:49" x14ac:dyDescent="0.25">
      <c r="AO234" s="116"/>
      <c r="AP234" s="117"/>
      <c r="AQ234" s="126" t="s">
        <v>150</v>
      </c>
      <c r="AR234" s="126"/>
      <c r="AS234" s="126"/>
      <c r="AT234" s="126"/>
      <c r="AU234" s="126"/>
      <c r="AV234" s="126"/>
      <c r="AW234" s="188"/>
    </row>
    <row r="235" spans="41:49" ht="15.75" thickBot="1" x14ac:dyDescent="0.3">
      <c r="AO235" s="189"/>
      <c r="AP235" s="190"/>
      <c r="AQ235" s="190"/>
      <c r="AR235" s="190"/>
      <c r="AS235" s="190"/>
      <c r="AT235" s="190"/>
      <c r="AU235" s="190"/>
      <c r="AV235" s="190"/>
      <c r="AW235" s="191"/>
    </row>
    <row r="238" spans="41:49" x14ac:dyDescent="0.25">
      <c r="AO238" s="42"/>
    </row>
  </sheetData>
  <sortState xmlns:xlrd2="http://schemas.microsoft.com/office/spreadsheetml/2017/richdata2" ref="D39:D51">
    <sortCondition ref="D39"/>
  </sortState>
  <mergeCells count="59">
    <mergeCell ref="AP211:AV211"/>
    <mergeCell ref="AP212:AV212"/>
    <mergeCell ref="AQ233:AW233"/>
    <mergeCell ref="AQ234:AW234"/>
    <mergeCell ref="AR203:AS203"/>
    <mergeCell ref="AR204:AS204"/>
    <mergeCell ref="AR205:AS205"/>
    <mergeCell ref="AP209:AV209"/>
    <mergeCell ref="AP210:AV210"/>
    <mergeCell ref="AP197:AS197"/>
    <mergeCell ref="AQ199:AS199"/>
    <mergeCell ref="AR200:AS200"/>
    <mergeCell ref="AR201:AS201"/>
    <mergeCell ref="AR202:AS202"/>
    <mergeCell ref="AV173:AX173"/>
    <mergeCell ref="AV174:AX174"/>
    <mergeCell ref="AR191:AS191"/>
    <mergeCell ref="AR192:AS192"/>
    <mergeCell ref="AP196:AT196"/>
    <mergeCell ref="AP143:AQ143"/>
    <mergeCell ref="AV168:AX168"/>
    <mergeCell ref="AV169:AX169"/>
    <mergeCell ref="AV170:AX170"/>
    <mergeCell ref="AV172:AX172"/>
    <mergeCell ref="AP137:AQ137"/>
    <mergeCell ref="AP139:AR139"/>
    <mergeCell ref="AP140:AQ140"/>
    <mergeCell ref="AP141:AQ141"/>
    <mergeCell ref="AP142:AQ142"/>
    <mergeCell ref="AP132:AR132"/>
    <mergeCell ref="AP133:AQ133"/>
    <mergeCell ref="AP134:AQ134"/>
    <mergeCell ref="AP135:AQ135"/>
    <mergeCell ref="AP136:AQ136"/>
    <mergeCell ref="K112:L112"/>
    <mergeCell ref="O112:P112"/>
    <mergeCell ref="V117:Y117"/>
    <mergeCell ref="P133:R133"/>
    <mergeCell ref="W134:AC134"/>
    <mergeCell ref="AC131:AD131"/>
    <mergeCell ref="AC132:AD132"/>
    <mergeCell ref="W151:AC151"/>
    <mergeCell ref="AC121:AE121"/>
    <mergeCell ref="AC122:AD122"/>
    <mergeCell ref="AC123:AD123"/>
    <mergeCell ref="AC124:AD124"/>
    <mergeCell ref="AC125:AD125"/>
    <mergeCell ref="AC126:AD126"/>
    <mergeCell ref="AC128:AE128"/>
    <mergeCell ref="AC129:AD129"/>
    <mergeCell ref="AC130:AD130"/>
    <mergeCell ref="W150:AC150"/>
    <mergeCell ref="Z162:AA162"/>
    <mergeCell ref="Y156:AA156"/>
    <mergeCell ref="Z157:AA157"/>
    <mergeCell ref="Z158:AA158"/>
    <mergeCell ref="Z159:AA159"/>
    <mergeCell ref="Z160:AA160"/>
    <mergeCell ref="Z161:AA161"/>
  </mergeCells>
  <phoneticPr fontId="15" type="noConversion"/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A07DC-7559-49C5-9D04-F5BB1A6F6AC4}">
  <dimension ref="A1:O123"/>
  <sheetViews>
    <sheetView zoomScale="82" workbookViewId="0">
      <selection activeCell="D12" sqref="D12"/>
    </sheetView>
  </sheetViews>
  <sheetFormatPr defaultRowHeight="15" x14ac:dyDescent="0.25"/>
  <cols>
    <col min="8" max="8" width="17.140625" customWidth="1"/>
    <col min="9" max="9" width="22.42578125" customWidth="1"/>
    <col min="10" max="10" width="15.140625" customWidth="1"/>
  </cols>
  <sheetData>
    <row r="1" spans="1:10" x14ac:dyDescent="0.25">
      <c r="A1" t="s">
        <v>43</v>
      </c>
    </row>
    <row r="2" spans="1:10" x14ac:dyDescent="0.25">
      <c r="A2" t="s">
        <v>44</v>
      </c>
    </row>
    <row r="3" spans="1:10" x14ac:dyDescent="0.25">
      <c r="B3" t="s">
        <v>42</v>
      </c>
    </row>
    <row r="4" spans="1:10" ht="15.75" thickBot="1" x14ac:dyDescent="0.3">
      <c r="J4" s="198" t="s">
        <v>157</v>
      </c>
    </row>
    <row r="5" spans="1:10" x14ac:dyDescent="0.25">
      <c r="A5" s="31" t="s">
        <v>15</v>
      </c>
      <c r="B5" s="33">
        <v>290.00607715427981</v>
      </c>
    </row>
    <row r="6" spans="1:10" x14ac:dyDescent="0.25">
      <c r="A6" s="34" t="s">
        <v>45</v>
      </c>
      <c r="B6" s="36">
        <v>107.33569922953349</v>
      </c>
    </row>
    <row r="7" spans="1:10" x14ac:dyDescent="0.25">
      <c r="A7" s="99" t="s">
        <v>60</v>
      </c>
      <c r="B7" s="88">
        <v>320</v>
      </c>
    </row>
    <row r="8" spans="1:10" x14ac:dyDescent="0.25">
      <c r="A8" s="99" t="s">
        <v>37</v>
      </c>
      <c r="B8" s="247">
        <f>(B7-B5)/B6</f>
        <v>0.27944032657372714</v>
      </c>
      <c r="F8" s="41" t="s">
        <v>46</v>
      </c>
      <c r="G8" s="41"/>
      <c r="H8" s="41">
        <v>76</v>
      </c>
    </row>
    <row r="9" spans="1:10" ht="15.75" thickBot="1" x14ac:dyDescent="0.3">
      <c r="A9" s="248" t="s">
        <v>61</v>
      </c>
      <c r="B9" s="249">
        <f>1-NORMSDIST(B8)</f>
        <v>0.38995346350395454</v>
      </c>
      <c r="F9" s="41" t="s">
        <v>47</v>
      </c>
      <c r="G9" s="41"/>
      <c r="H9" s="41">
        <v>56</v>
      </c>
    </row>
    <row r="10" spans="1:10" x14ac:dyDescent="0.25">
      <c r="F10" s="41" t="s">
        <v>48</v>
      </c>
      <c r="G10" s="41"/>
      <c r="H10" s="41">
        <f>SUM(H12:H21)</f>
        <v>99</v>
      </c>
    </row>
    <row r="11" spans="1:10" x14ac:dyDescent="0.25">
      <c r="F11" s="41" t="s">
        <v>49</v>
      </c>
      <c r="G11" s="41" t="s">
        <v>50</v>
      </c>
      <c r="H11" s="41" t="s">
        <v>12</v>
      </c>
    </row>
    <row r="12" spans="1:10" x14ac:dyDescent="0.25">
      <c r="F12">
        <f>H8+0.5*H9</f>
        <v>104</v>
      </c>
      <c r="G12">
        <f>F12+0.5*$H$9</f>
        <v>132</v>
      </c>
      <c r="H12">
        <f t="array" ref="H12:H21">FREQUENCY(B24:B123,G12:G21)</f>
        <v>2</v>
      </c>
    </row>
    <row r="13" spans="1:10" x14ac:dyDescent="0.25">
      <c r="F13">
        <f>F12+$H$9</f>
        <v>160</v>
      </c>
      <c r="G13">
        <f t="shared" ref="G13:G21" si="0">F13+0.5*$H$9</f>
        <v>188</v>
      </c>
      <c r="H13">
        <v>15</v>
      </c>
    </row>
    <row r="14" spans="1:10" x14ac:dyDescent="0.25">
      <c r="F14">
        <f t="shared" ref="F14:F21" si="1">F13+$H$9</f>
        <v>216</v>
      </c>
      <c r="G14">
        <f t="shared" si="0"/>
        <v>244</v>
      </c>
      <c r="H14">
        <v>18</v>
      </c>
    </row>
    <row r="15" spans="1:10" x14ac:dyDescent="0.25">
      <c r="F15">
        <f t="shared" si="1"/>
        <v>272</v>
      </c>
      <c r="G15">
        <f t="shared" si="0"/>
        <v>300</v>
      </c>
      <c r="H15">
        <v>27</v>
      </c>
    </row>
    <row r="16" spans="1:10" x14ac:dyDescent="0.25">
      <c r="F16">
        <f t="shared" si="1"/>
        <v>328</v>
      </c>
      <c r="G16">
        <f t="shared" si="0"/>
        <v>356</v>
      </c>
      <c r="H16">
        <v>17</v>
      </c>
    </row>
    <row r="17" spans="2:10" x14ac:dyDescent="0.25">
      <c r="F17">
        <f t="shared" si="1"/>
        <v>384</v>
      </c>
      <c r="G17">
        <f t="shared" si="0"/>
        <v>412</v>
      </c>
      <c r="H17">
        <v>7</v>
      </c>
    </row>
    <row r="18" spans="2:10" x14ac:dyDescent="0.25">
      <c r="F18">
        <f t="shared" si="1"/>
        <v>440</v>
      </c>
      <c r="G18">
        <f t="shared" si="0"/>
        <v>468</v>
      </c>
      <c r="H18">
        <v>5</v>
      </c>
    </row>
    <row r="19" spans="2:10" x14ac:dyDescent="0.25">
      <c r="F19">
        <f t="shared" si="1"/>
        <v>496</v>
      </c>
      <c r="G19">
        <f t="shared" si="0"/>
        <v>524</v>
      </c>
      <c r="H19">
        <v>6</v>
      </c>
    </row>
    <row r="20" spans="2:10" x14ac:dyDescent="0.25">
      <c r="F20">
        <f t="shared" si="1"/>
        <v>552</v>
      </c>
      <c r="G20">
        <f t="shared" si="0"/>
        <v>580</v>
      </c>
      <c r="H20">
        <v>2</v>
      </c>
    </row>
    <row r="21" spans="2:10" x14ac:dyDescent="0.25">
      <c r="F21">
        <f t="shared" si="1"/>
        <v>608</v>
      </c>
      <c r="G21">
        <f t="shared" si="0"/>
        <v>636</v>
      </c>
      <c r="H21">
        <v>0</v>
      </c>
    </row>
    <row r="24" spans="2:10" x14ac:dyDescent="0.25">
      <c r="B24">
        <v>354.36903419555154</v>
      </c>
    </row>
    <row r="25" spans="2:10" x14ac:dyDescent="0.25">
      <c r="B25">
        <v>492.18802690811935</v>
      </c>
    </row>
    <row r="26" spans="2:10" x14ac:dyDescent="0.25">
      <c r="B26">
        <v>423.62012676189585</v>
      </c>
    </row>
    <row r="27" spans="2:10" x14ac:dyDescent="0.25">
      <c r="B27">
        <v>135.10268405454048</v>
      </c>
    </row>
    <row r="28" spans="2:10" x14ac:dyDescent="0.25">
      <c r="B28">
        <v>303.94045729382356</v>
      </c>
    </row>
    <row r="29" spans="2:10" x14ac:dyDescent="0.25">
      <c r="B29">
        <v>495.16740478580863</v>
      </c>
      <c r="J29" s="43" t="s">
        <v>158</v>
      </c>
    </row>
    <row r="30" spans="2:10" x14ac:dyDescent="0.25">
      <c r="B30">
        <v>272.46898268184799</v>
      </c>
    </row>
    <row r="31" spans="2:10" x14ac:dyDescent="0.25">
      <c r="B31">
        <v>348.07836587569506</v>
      </c>
      <c r="F31" t="s">
        <v>9</v>
      </c>
      <c r="G31">
        <f>MIN(B24:B123)</f>
        <v>76.289264256014263</v>
      </c>
    </row>
    <row r="32" spans="2:10" x14ac:dyDescent="0.25">
      <c r="B32">
        <v>292.17974276238749</v>
      </c>
      <c r="F32" t="s">
        <v>10</v>
      </c>
      <c r="G32">
        <f>MAX(B24:B123)</f>
        <v>636.88175350352878</v>
      </c>
    </row>
    <row r="33" spans="2:7" ht="15.75" thickBot="1" x14ac:dyDescent="0.3">
      <c r="B33">
        <v>295.37161406059124</v>
      </c>
    </row>
    <row r="34" spans="2:7" x14ac:dyDescent="0.25">
      <c r="B34">
        <v>281.27055277807352</v>
      </c>
      <c r="E34">
        <v>74</v>
      </c>
      <c r="F34" s="13" t="s">
        <v>11</v>
      </c>
      <c r="G34" s="13" t="s">
        <v>12</v>
      </c>
    </row>
    <row r="35" spans="2:7" x14ac:dyDescent="0.25">
      <c r="B35">
        <v>252.29950291123231</v>
      </c>
      <c r="E35">
        <v>130</v>
      </c>
      <c r="F35">
        <v>74</v>
      </c>
      <c r="G35">
        <v>0</v>
      </c>
    </row>
    <row r="36" spans="2:7" x14ac:dyDescent="0.25">
      <c r="B36">
        <v>265.73662633751974</v>
      </c>
      <c r="E36">
        <v>186</v>
      </c>
      <c r="F36">
        <v>130</v>
      </c>
      <c r="G36">
        <v>1</v>
      </c>
    </row>
    <row r="37" spans="2:7" x14ac:dyDescent="0.25">
      <c r="B37">
        <v>230.29041782414384</v>
      </c>
      <c r="E37">
        <v>242</v>
      </c>
      <c r="F37">
        <v>186</v>
      </c>
      <c r="G37">
        <v>16</v>
      </c>
    </row>
    <row r="38" spans="2:7" x14ac:dyDescent="0.25">
      <c r="B38">
        <v>158.10405845588892</v>
      </c>
      <c r="E38">
        <v>298</v>
      </c>
      <c r="F38">
        <v>242</v>
      </c>
      <c r="G38">
        <v>18</v>
      </c>
    </row>
    <row r="39" spans="2:7" x14ac:dyDescent="0.25">
      <c r="B39">
        <v>223.2914274033696</v>
      </c>
      <c r="E39">
        <v>354</v>
      </c>
      <c r="F39">
        <v>298</v>
      </c>
      <c r="G39">
        <v>27</v>
      </c>
    </row>
    <row r="40" spans="2:7" x14ac:dyDescent="0.25">
      <c r="B40">
        <v>636.88175350352878</v>
      </c>
      <c r="E40">
        <v>410</v>
      </c>
      <c r="F40">
        <v>354</v>
      </c>
      <c r="G40">
        <v>16</v>
      </c>
    </row>
    <row r="41" spans="2:7" x14ac:dyDescent="0.25">
      <c r="B41">
        <v>160.90676289708966</v>
      </c>
      <c r="E41">
        <v>466</v>
      </c>
      <c r="F41">
        <v>410</v>
      </c>
      <c r="G41">
        <v>8</v>
      </c>
    </row>
    <row r="42" spans="2:7" x14ac:dyDescent="0.25">
      <c r="B42">
        <v>261.91622609230922</v>
      </c>
      <c r="E42">
        <v>522</v>
      </c>
      <c r="F42">
        <v>466</v>
      </c>
      <c r="G42">
        <v>5</v>
      </c>
    </row>
    <row r="43" spans="2:7" x14ac:dyDescent="0.25">
      <c r="B43">
        <v>255.30400698564929</v>
      </c>
      <c r="E43">
        <v>578</v>
      </c>
      <c r="F43">
        <v>522</v>
      </c>
      <c r="G43">
        <v>6</v>
      </c>
    </row>
    <row r="44" spans="2:7" x14ac:dyDescent="0.25">
      <c r="B44">
        <v>288.66810881656733</v>
      </c>
      <c r="E44">
        <v>634</v>
      </c>
      <c r="F44">
        <v>578</v>
      </c>
      <c r="G44">
        <v>2</v>
      </c>
    </row>
    <row r="45" spans="2:7" x14ac:dyDescent="0.25">
      <c r="B45">
        <v>197.58584087493696</v>
      </c>
      <c r="E45">
        <v>690</v>
      </c>
      <c r="F45">
        <v>634</v>
      </c>
      <c r="G45">
        <v>0</v>
      </c>
    </row>
    <row r="46" spans="2:7" x14ac:dyDescent="0.25">
      <c r="B46">
        <v>284.4058523640453</v>
      </c>
      <c r="F46">
        <v>690</v>
      </c>
      <c r="G46">
        <v>1</v>
      </c>
    </row>
    <row r="47" spans="2:7" ht="15.75" thickBot="1" x14ac:dyDescent="0.3">
      <c r="B47">
        <v>226.93938273841101</v>
      </c>
      <c r="F47" s="15" t="s">
        <v>13</v>
      </c>
      <c r="G47" s="15">
        <v>0</v>
      </c>
    </row>
    <row r="48" spans="2:7" x14ac:dyDescent="0.25">
      <c r="B48">
        <v>330.69212127884759</v>
      </c>
    </row>
    <row r="49" spans="2:15" x14ac:dyDescent="0.25">
      <c r="B49">
        <v>303.56095230657905</v>
      </c>
    </row>
    <row r="50" spans="2:15" ht="15.75" thickBot="1" x14ac:dyDescent="0.3">
      <c r="B50">
        <v>197.78863537682449</v>
      </c>
    </row>
    <row r="51" spans="2:15" x14ac:dyDescent="0.25">
      <c r="B51">
        <v>527.1464896190912</v>
      </c>
      <c r="F51" s="204"/>
      <c r="G51" s="112" t="s">
        <v>51</v>
      </c>
      <c r="H51" s="205"/>
      <c r="I51" s="205"/>
      <c r="J51" s="205"/>
      <c r="K51" s="205"/>
      <c r="L51" s="205"/>
      <c r="M51" s="205"/>
      <c r="N51" s="205"/>
      <c r="O51" s="206"/>
    </row>
    <row r="52" spans="2:15" x14ac:dyDescent="0.25">
      <c r="B52">
        <v>339.5656609278725</v>
      </c>
      <c r="F52" s="207"/>
      <c r="G52" s="208"/>
      <c r="H52" s="208"/>
      <c r="I52" s="208"/>
      <c r="J52" s="208"/>
      <c r="K52" s="208"/>
      <c r="L52" s="208"/>
      <c r="M52" s="208"/>
      <c r="N52" s="208"/>
      <c r="O52" s="209"/>
    </row>
    <row r="53" spans="2:15" x14ac:dyDescent="0.25">
      <c r="B53">
        <v>293.20359513910364</v>
      </c>
      <c r="F53" s="207"/>
      <c r="G53" s="208"/>
      <c r="H53" s="210" t="s">
        <v>38</v>
      </c>
      <c r="I53" s="210" t="s">
        <v>39</v>
      </c>
      <c r="J53" s="211" t="s">
        <v>52</v>
      </c>
      <c r="K53" s="208"/>
      <c r="L53" s="208"/>
      <c r="M53" s="208"/>
      <c r="N53" s="208"/>
      <c r="O53" s="209"/>
    </row>
    <row r="54" spans="2:15" x14ac:dyDescent="0.25">
      <c r="B54">
        <v>261.96340989475351</v>
      </c>
      <c r="F54" s="207"/>
      <c r="G54" s="208"/>
      <c r="H54" s="212">
        <f t="shared" ref="H54:H63" ca="1" si="2">INDEX(simu,RANDBETWEEN(1,ROWS(simu)),RANDBETWEEN(1,COLUMNS(simu)))</f>
        <v>512.00878062843492</v>
      </c>
      <c r="I54" s="212">
        <v>246.1093556883813</v>
      </c>
      <c r="J54" s="213">
        <v>223.2914274033696</v>
      </c>
      <c r="K54" s="214"/>
      <c r="L54" s="208"/>
      <c r="M54" s="208"/>
      <c r="N54" s="208"/>
      <c r="O54" s="209"/>
    </row>
    <row r="55" spans="2:15" x14ac:dyDescent="0.25">
      <c r="B55">
        <v>181.00876184737805</v>
      </c>
      <c r="F55" s="207"/>
      <c r="G55" s="208"/>
      <c r="H55" s="212">
        <f t="shared" ca="1" si="2"/>
        <v>636.88175350352878</v>
      </c>
      <c r="I55" s="212">
        <v>272.46898268184799</v>
      </c>
      <c r="J55" s="213">
        <v>418.86533941474363</v>
      </c>
      <c r="K55" s="214"/>
      <c r="L55" s="208"/>
      <c r="M55" s="208"/>
      <c r="N55" s="208"/>
      <c r="O55" s="209"/>
    </row>
    <row r="56" spans="2:15" x14ac:dyDescent="0.25">
      <c r="B56">
        <v>394.1694120391407</v>
      </c>
      <c r="F56" s="207"/>
      <c r="G56" s="208"/>
      <c r="H56" s="212">
        <f t="shared" ca="1" si="2"/>
        <v>281.27055277807352</v>
      </c>
      <c r="I56" s="212">
        <v>226.76677012610182</v>
      </c>
      <c r="J56" s="213">
        <v>292.17974276238749</v>
      </c>
      <c r="K56" s="214"/>
      <c r="L56" s="208"/>
      <c r="M56" s="208"/>
      <c r="N56" s="208"/>
      <c r="O56" s="209"/>
    </row>
    <row r="57" spans="2:15" x14ac:dyDescent="0.25">
      <c r="B57">
        <v>280.36356231989515</v>
      </c>
      <c r="F57" s="207"/>
      <c r="G57" s="208"/>
      <c r="H57" s="212">
        <f t="shared" ca="1" si="2"/>
        <v>181.00876184737805</v>
      </c>
      <c r="I57" s="212">
        <v>510.33187857487241</v>
      </c>
      <c r="J57" s="213">
        <v>177.37317250802644</v>
      </c>
      <c r="K57" s="214"/>
      <c r="L57" s="208"/>
      <c r="M57" s="208"/>
      <c r="N57" s="208"/>
      <c r="O57" s="209"/>
    </row>
    <row r="58" spans="2:15" x14ac:dyDescent="0.25">
      <c r="B58">
        <v>379.37409292034528</v>
      </c>
      <c r="F58" s="207"/>
      <c r="G58" s="208"/>
      <c r="H58" s="212">
        <f t="shared" ca="1" si="2"/>
        <v>295.37161406059124</v>
      </c>
      <c r="I58" s="212">
        <v>377.99447392841222</v>
      </c>
      <c r="J58" s="213">
        <v>265.73662633751974</v>
      </c>
      <c r="K58" s="214"/>
      <c r="L58" s="208"/>
      <c r="M58" s="208"/>
      <c r="N58" s="208"/>
      <c r="O58" s="209"/>
    </row>
    <row r="59" spans="2:15" x14ac:dyDescent="0.25">
      <c r="B59">
        <v>320.03441680557819</v>
      </c>
      <c r="F59" s="207"/>
      <c r="G59" s="208"/>
      <c r="H59" s="212">
        <f t="shared" ca="1" si="2"/>
        <v>246.6206026120359</v>
      </c>
      <c r="I59" s="212">
        <v>261.96340989475351</v>
      </c>
      <c r="J59" s="213">
        <v>636.88175350352878</v>
      </c>
      <c r="K59" s="214"/>
      <c r="L59" s="208"/>
      <c r="M59" s="208"/>
      <c r="N59" s="208"/>
      <c r="O59" s="209"/>
    </row>
    <row r="60" spans="2:15" x14ac:dyDescent="0.25">
      <c r="B60">
        <v>422.26100489462505</v>
      </c>
      <c r="F60" s="207"/>
      <c r="G60" s="208"/>
      <c r="H60" s="212">
        <f t="shared" ca="1" si="2"/>
        <v>231.14994717325035</v>
      </c>
      <c r="I60" s="212">
        <v>174.13636445966017</v>
      </c>
      <c r="J60" s="213">
        <v>255.30400698564929</v>
      </c>
      <c r="K60" s="214"/>
      <c r="L60" s="208"/>
      <c r="M60" s="208"/>
      <c r="N60" s="208"/>
      <c r="O60" s="209"/>
    </row>
    <row r="61" spans="2:15" x14ac:dyDescent="0.25">
      <c r="B61">
        <v>131.12301746854453</v>
      </c>
      <c r="F61" s="207"/>
      <c r="G61" s="208"/>
      <c r="H61" s="212">
        <f t="shared" ca="1" si="2"/>
        <v>181.00876184737805</v>
      </c>
      <c r="I61" s="212">
        <v>197.78863537682449</v>
      </c>
      <c r="J61" s="213">
        <v>339.5656609278725</v>
      </c>
      <c r="K61" s="214"/>
      <c r="L61" s="208"/>
      <c r="M61" s="208"/>
      <c r="N61" s="208"/>
      <c r="O61" s="209"/>
    </row>
    <row r="62" spans="2:15" x14ac:dyDescent="0.25">
      <c r="B62">
        <v>213.95973923164686</v>
      </c>
      <c r="F62" s="207"/>
      <c r="G62" s="208"/>
      <c r="H62" s="212">
        <f t="shared" ca="1" si="2"/>
        <v>527.1464896190912</v>
      </c>
      <c r="I62" s="212">
        <v>423.62012676189585</v>
      </c>
      <c r="J62" s="213">
        <v>492.18802690811935</v>
      </c>
      <c r="K62" s="214"/>
      <c r="L62" s="208"/>
      <c r="M62" s="208"/>
      <c r="N62" s="208"/>
      <c r="O62" s="209"/>
    </row>
    <row r="63" spans="2:15" x14ac:dyDescent="0.25">
      <c r="B63">
        <v>167.21708916726556</v>
      </c>
      <c r="F63" s="207"/>
      <c r="G63" s="208"/>
      <c r="H63" s="212">
        <f t="shared" ca="1" si="2"/>
        <v>170.75519962498927</v>
      </c>
      <c r="I63" s="215">
        <v>246.1093556883813</v>
      </c>
      <c r="J63" s="216">
        <v>280.36356231989515</v>
      </c>
      <c r="K63" s="214"/>
      <c r="L63" s="208"/>
      <c r="M63" s="208"/>
      <c r="N63" s="208"/>
      <c r="O63" s="209"/>
    </row>
    <row r="64" spans="2:15" x14ac:dyDescent="0.25">
      <c r="B64">
        <v>180.28223320751545</v>
      </c>
      <c r="F64" s="207"/>
      <c r="G64" s="208"/>
      <c r="H64" s="208"/>
      <c r="I64" s="208"/>
      <c r="J64" s="208"/>
      <c r="K64" s="208"/>
      <c r="L64" s="208"/>
      <c r="M64" s="208"/>
      <c r="N64" s="208"/>
      <c r="O64" s="209"/>
    </row>
    <row r="65" spans="2:15" x14ac:dyDescent="0.25">
      <c r="B65">
        <v>246.6206026120359</v>
      </c>
      <c r="F65" s="207"/>
      <c r="G65" s="217"/>
      <c r="H65" s="218" t="s">
        <v>53</v>
      </c>
      <c r="I65" s="217"/>
      <c r="J65" s="217"/>
      <c r="K65" s="208"/>
      <c r="L65" s="208"/>
      <c r="M65" s="208"/>
      <c r="N65" s="208"/>
      <c r="O65" s="209"/>
    </row>
    <row r="66" spans="2:15" x14ac:dyDescent="0.25">
      <c r="B66">
        <v>188.52275065701227</v>
      </c>
      <c r="F66" s="207"/>
      <c r="G66" s="208"/>
      <c r="H66" s="219" t="s">
        <v>15</v>
      </c>
      <c r="I66" s="220">
        <f>AVERAGE(I54:I63)</f>
        <v>293.72893531811303</v>
      </c>
      <c r="J66" s="221">
        <f>AVERAGE(J54:J63)</f>
        <v>338.17493190711122</v>
      </c>
      <c r="K66" s="208"/>
      <c r="L66" s="208"/>
      <c r="M66" s="208"/>
      <c r="N66" s="208"/>
      <c r="O66" s="209"/>
    </row>
    <row r="67" spans="2:15" x14ac:dyDescent="0.25">
      <c r="B67">
        <v>76.289264256014263</v>
      </c>
      <c r="F67" s="207"/>
      <c r="G67" s="208"/>
      <c r="H67" s="222" t="s">
        <v>16</v>
      </c>
      <c r="I67" s="212">
        <f>STDEV(I54:I63)</f>
        <v>107.94874106813852</v>
      </c>
      <c r="J67" s="213">
        <f>STDEV(J54:J63)</f>
        <v>139.87562344733408</v>
      </c>
      <c r="K67" s="208"/>
      <c r="L67" s="208"/>
      <c r="M67" s="208"/>
      <c r="N67" s="208"/>
      <c r="O67" s="209"/>
    </row>
    <row r="68" spans="2:15" x14ac:dyDescent="0.25">
      <c r="B68">
        <v>302.0154510383959</v>
      </c>
      <c r="F68" s="207"/>
      <c r="G68" s="208"/>
      <c r="H68" s="222" t="s">
        <v>36</v>
      </c>
      <c r="I68" s="222">
        <v>320</v>
      </c>
      <c r="J68" s="223">
        <v>320</v>
      </c>
      <c r="K68" s="208"/>
      <c r="L68" s="208"/>
      <c r="M68" s="208"/>
      <c r="N68" s="208"/>
      <c r="O68" s="209"/>
    </row>
    <row r="69" spans="2:15" x14ac:dyDescent="0.25">
      <c r="B69">
        <v>340.47219218966484</v>
      </c>
      <c r="F69" s="207"/>
      <c r="G69" s="208"/>
      <c r="H69" s="222" t="s">
        <v>37</v>
      </c>
      <c r="I69" s="212">
        <f>(I68-I66)/I67</f>
        <v>0.24336610526383409</v>
      </c>
      <c r="J69" s="213">
        <f>(J68-J66)/J67</f>
        <v>-0.1299363781849697</v>
      </c>
      <c r="K69" s="208"/>
      <c r="L69" s="208"/>
      <c r="M69" s="208"/>
      <c r="N69" s="208"/>
      <c r="O69" s="209"/>
    </row>
    <row r="70" spans="2:15" x14ac:dyDescent="0.25">
      <c r="B70">
        <v>304.13285215424702</v>
      </c>
      <c r="F70" s="207"/>
      <c r="G70" s="208"/>
      <c r="H70" s="224" t="s">
        <v>62</v>
      </c>
      <c r="I70" s="225">
        <f>1-_xlfn.T.DIST(I69,I74-1,1)</f>
        <v>0.4065890754264061</v>
      </c>
      <c r="J70" s="226">
        <f>1-_xlfn.T.DIST(J69,J74-1,1)</f>
        <v>0.55026274026738986</v>
      </c>
      <c r="K70" s="208"/>
      <c r="L70" s="208"/>
      <c r="M70" s="208"/>
      <c r="N70" s="208"/>
      <c r="O70" s="209"/>
    </row>
    <row r="71" spans="2:15" x14ac:dyDescent="0.25">
      <c r="B71">
        <v>418.86533941474363</v>
      </c>
      <c r="F71" s="207"/>
      <c r="G71" s="208"/>
      <c r="H71" s="208"/>
      <c r="I71" s="208"/>
      <c r="J71" s="208"/>
      <c r="K71" s="208"/>
      <c r="L71" s="208"/>
      <c r="M71" s="208"/>
      <c r="N71" s="208"/>
      <c r="O71" s="209"/>
    </row>
    <row r="72" spans="2:15" x14ac:dyDescent="0.25">
      <c r="B72">
        <v>170.75519962498927</v>
      </c>
      <c r="F72" s="207"/>
      <c r="G72" s="208"/>
      <c r="H72" s="196"/>
      <c r="I72" s="227" t="s">
        <v>54</v>
      </c>
      <c r="J72" s="227" t="s">
        <v>55</v>
      </c>
      <c r="K72" s="208"/>
      <c r="L72" s="208"/>
      <c r="M72" s="208"/>
      <c r="N72" s="208"/>
      <c r="O72" s="209"/>
    </row>
    <row r="73" spans="2:15" x14ac:dyDescent="0.25">
      <c r="B73">
        <v>208.62929630189399</v>
      </c>
      <c r="F73" s="207"/>
      <c r="G73" s="208"/>
      <c r="H73" s="219" t="s">
        <v>63</v>
      </c>
      <c r="I73" s="219">
        <f>COUNTIF(I54:I63,"&gt;320")</f>
        <v>3</v>
      </c>
      <c r="J73" s="228">
        <f>COUNTIF(J54:J63,"&gt;320")</f>
        <v>4</v>
      </c>
      <c r="K73" s="208"/>
      <c r="L73" s="208"/>
      <c r="M73" s="208"/>
      <c r="N73" s="208"/>
      <c r="O73" s="209"/>
    </row>
    <row r="74" spans="2:15" x14ac:dyDescent="0.25">
      <c r="B74">
        <v>348.4387950197796</v>
      </c>
      <c r="F74" s="207"/>
      <c r="G74" s="208"/>
      <c r="H74" s="222" t="s">
        <v>40</v>
      </c>
      <c r="I74" s="222">
        <f>COUNT(I54:I63)</f>
        <v>10</v>
      </c>
      <c r="J74" s="223">
        <f>COUNT(J54:J63)</f>
        <v>10</v>
      </c>
      <c r="K74" s="208"/>
      <c r="L74" s="208"/>
      <c r="M74" s="208"/>
      <c r="N74" s="208"/>
      <c r="O74" s="209"/>
    </row>
    <row r="75" spans="2:15" ht="30" x14ac:dyDescent="0.25">
      <c r="B75">
        <v>278.89245441887596</v>
      </c>
      <c r="F75" s="207"/>
      <c r="G75" s="208"/>
      <c r="H75" s="229" t="s">
        <v>123</v>
      </c>
      <c r="I75" s="230">
        <f>I73/I74</f>
        <v>0.3</v>
      </c>
      <c r="J75" s="231">
        <f>J73/J74</f>
        <v>0.4</v>
      </c>
      <c r="K75" s="208"/>
      <c r="L75" s="208"/>
      <c r="M75" s="208"/>
      <c r="N75" s="208"/>
      <c r="O75" s="209"/>
    </row>
    <row r="76" spans="2:15" x14ac:dyDescent="0.25">
      <c r="B76">
        <v>253.22505709498316</v>
      </c>
      <c r="F76" s="207"/>
      <c r="G76" s="208"/>
      <c r="H76" s="232"/>
      <c r="I76" s="222"/>
      <c r="J76" s="233"/>
      <c r="K76" s="208"/>
      <c r="L76" s="208"/>
      <c r="M76" s="208"/>
      <c r="N76" s="208"/>
      <c r="O76" s="209"/>
    </row>
    <row r="77" spans="2:15" x14ac:dyDescent="0.25">
      <c r="B77">
        <v>195.76764154437956</v>
      </c>
      <c r="F77" s="207"/>
      <c r="G77" s="208"/>
      <c r="H77" s="222" t="s">
        <v>15</v>
      </c>
      <c r="I77" s="234">
        <f>B9</f>
        <v>0.38995346350395454</v>
      </c>
      <c r="J77" s="235"/>
      <c r="K77" s="208"/>
      <c r="L77" s="208"/>
      <c r="M77" s="208"/>
      <c r="N77" s="208"/>
      <c r="O77" s="209"/>
    </row>
    <row r="78" spans="2:15" x14ac:dyDescent="0.25">
      <c r="B78">
        <v>358.26649547373978</v>
      </c>
      <c r="F78" s="207"/>
      <c r="G78" s="208"/>
      <c r="H78" s="222" t="s">
        <v>16</v>
      </c>
      <c r="I78" s="236">
        <f>SQRT(I77*(1-I77)/I74)</f>
        <v>0.15423675301471582</v>
      </c>
      <c r="J78" s="235"/>
      <c r="K78" s="208"/>
      <c r="L78" s="208"/>
      <c r="M78" s="208"/>
      <c r="N78" s="208"/>
      <c r="O78" s="209"/>
    </row>
    <row r="79" spans="2:15" x14ac:dyDescent="0.25">
      <c r="B79">
        <v>512.00878062843492</v>
      </c>
      <c r="F79" s="207"/>
      <c r="G79" s="208"/>
      <c r="H79" s="222" t="s">
        <v>134</v>
      </c>
      <c r="I79" s="230">
        <f>I75</f>
        <v>0.3</v>
      </c>
      <c r="J79" s="237">
        <f>J75</f>
        <v>0.4</v>
      </c>
      <c r="K79" s="208"/>
      <c r="L79" s="208"/>
      <c r="M79" s="208"/>
      <c r="N79" s="208"/>
      <c r="O79" s="209"/>
    </row>
    <row r="80" spans="2:15" x14ac:dyDescent="0.25">
      <c r="B80">
        <v>300.10119407674688</v>
      </c>
      <c r="F80" s="207"/>
      <c r="G80" s="208"/>
      <c r="H80" s="224" t="s">
        <v>37</v>
      </c>
      <c r="I80" s="238">
        <f>(I79-I77)/I78</f>
        <v>-0.58321678682753419</v>
      </c>
      <c r="J80" s="239">
        <f>(J79-I77)/I78</f>
        <v>6.5137110965289388E-2</v>
      </c>
      <c r="K80" s="208"/>
      <c r="L80" s="208"/>
      <c r="M80" s="208"/>
      <c r="N80" s="208"/>
      <c r="O80" s="209"/>
    </row>
    <row r="81" spans="2:15" x14ac:dyDescent="0.25">
      <c r="B81">
        <v>174.03110877941168</v>
      </c>
      <c r="F81" s="207"/>
      <c r="G81" s="208"/>
      <c r="H81" s="208"/>
      <c r="I81" s="208"/>
      <c r="J81" s="208"/>
      <c r="K81" s="208"/>
      <c r="L81" s="208"/>
      <c r="M81" s="208"/>
      <c r="N81" s="208"/>
      <c r="O81" s="209"/>
    </row>
    <row r="82" spans="2:15" x14ac:dyDescent="0.25">
      <c r="B82">
        <v>381.2546845513761</v>
      </c>
      <c r="F82" s="207"/>
      <c r="G82" s="240" t="s">
        <v>56</v>
      </c>
      <c r="H82" s="240"/>
      <c r="I82" s="240"/>
      <c r="J82" s="240"/>
      <c r="K82" s="240"/>
      <c r="L82" s="208"/>
      <c r="M82" s="208"/>
      <c r="N82" s="208"/>
      <c r="O82" s="209"/>
    </row>
    <row r="83" spans="2:15" x14ac:dyDescent="0.25">
      <c r="B83">
        <v>264.94908992277237</v>
      </c>
      <c r="F83" s="207"/>
      <c r="G83" s="240" t="s">
        <v>57</v>
      </c>
      <c r="H83" s="240"/>
      <c r="I83" s="240"/>
      <c r="J83" s="240"/>
      <c r="K83" s="240"/>
      <c r="L83" s="208"/>
      <c r="M83" s="208"/>
      <c r="N83" s="208"/>
      <c r="O83" s="209"/>
    </row>
    <row r="84" spans="2:15" x14ac:dyDescent="0.25">
      <c r="B84">
        <v>280.96999275674597</v>
      </c>
      <c r="F84" s="207"/>
      <c r="G84" s="208"/>
      <c r="H84" s="208"/>
      <c r="I84" s="208"/>
      <c r="J84" s="208"/>
      <c r="K84" s="208"/>
      <c r="L84" s="208"/>
      <c r="M84" s="208"/>
      <c r="N84" s="208"/>
      <c r="O84" s="209"/>
    </row>
    <row r="85" spans="2:15" x14ac:dyDescent="0.25">
      <c r="B85">
        <v>289.30002705187047</v>
      </c>
      <c r="F85" s="207"/>
      <c r="G85" s="208"/>
      <c r="H85" s="241" t="s">
        <v>58</v>
      </c>
      <c r="I85" s="242"/>
      <c r="J85" s="208"/>
      <c r="K85" s="208"/>
      <c r="L85" s="208"/>
      <c r="M85" s="208"/>
      <c r="N85" s="208"/>
      <c r="O85" s="209"/>
    </row>
    <row r="86" spans="2:15" x14ac:dyDescent="0.25">
      <c r="B86">
        <v>213.17735103021741</v>
      </c>
      <c r="F86" s="207"/>
      <c r="G86" s="208"/>
      <c r="H86" s="222" t="s">
        <v>28</v>
      </c>
      <c r="I86" s="237">
        <v>0.95</v>
      </c>
      <c r="J86" s="208"/>
      <c r="K86" s="208"/>
      <c r="L86" s="208"/>
      <c r="M86" s="208"/>
      <c r="N86" s="208"/>
      <c r="O86" s="209"/>
    </row>
    <row r="87" spans="2:15" x14ac:dyDescent="0.25">
      <c r="B87">
        <v>246.1093556883813</v>
      </c>
      <c r="F87" s="207"/>
      <c r="G87" s="208"/>
      <c r="H87" s="222" t="s">
        <v>59</v>
      </c>
      <c r="I87" s="237">
        <f>1-I86</f>
        <v>5.0000000000000044E-2</v>
      </c>
      <c r="J87" s="208"/>
      <c r="K87" s="208"/>
      <c r="L87" s="208"/>
      <c r="M87" s="208"/>
      <c r="N87" s="208"/>
      <c r="O87" s="209"/>
    </row>
    <row r="88" spans="2:15" x14ac:dyDescent="0.25">
      <c r="B88">
        <v>176.38091948670575</v>
      </c>
      <c r="F88" s="207"/>
      <c r="G88" s="208"/>
      <c r="H88" s="222" t="s">
        <v>156</v>
      </c>
      <c r="I88" s="243">
        <f>I87/2</f>
        <v>2.5000000000000022E-2</v>
      </c>
      <c r="J88" s="208"/>
      <c r="K88" s="208"/>
      <c r="L88" s="208"/>
      <c r="M88" s="208"/>
      <c r="N88" s="208"/>
      <c r="O88" s="209"/>
    </row>
    <row r="89" spans="2:15" x14ac:dyDescent="0.25">
      <c r="B89">
        <v>318.04459423391773</v>
      </c>
      <c r="F89" s="207"/>
      <c r="G89" s="208"/>
      <c r="H89" s="222" t="s">
        <v>136</v>
      </c>
      <c r="I89" s="243">
        <f>1-I88</f>
        <v>0.97499999999999998</v>
      </c>
      <c r="J89" s="208"/>
      <c r="K89" s="208"/>
      <c r="L89" s="208"/>
      <c r="M89" s="208"/>
      <c r="N89" s="208"/>
      <c r="O89" s="209"/>
    </row>
    <row r="90" spans="2:15" ht="18" x14ac:dyDescent="0.35">
      <c r="B90">
        <v>202.01925579194253</v>
      </c>
      <c r="F90" s="207"/>
      <c r="G90" s="208"/>
      <c r="H90" s="222" t="s">
        <v>137</v>
      </c>
      <c r="I90" s="213">
        <f>NORMSINV(I88)</f>
        <v>-1.9599639845400536</v>
      </c>
      <c r="J90" s="208"/>
      <c r="K90" s="208"/>
      <c r="L90" s="208"/>
      <c r="M90" s="208"/>
      <c r="N90" s="208"/>
      <c r="O90" s="209"/>
    </row>
    <row r="91" spans="2:15" ht="18" x14ac:dyDescent="0.35">
      <c r="B91">
        <v>510.33187857487241</v>
      </c>
      <c r="F91" s="207"/>
      <c r="G91" s="208"/>
      <c r="H91" s="222" t="s">
        <v>138</v>
      </c>
      <c r="I91" s="213">
        <f>NORMSINV(I89)</f>
        <v>1.9599639845400536</v>
      </c>
      <c r="J91" s="208"/>
      <c r="K91" s="208"/>
      <c r="L91" s="208"/>
      <c r="M91" s="208"/>
      <c r="N91" s="208"/>
      <c r="O91" s="209"/>
    </row>
    <row r="92" spans="2:15" x14ac:dyDescent="0.25">
      <c r="B92">
        <v>177.37317250802644</v>
      </c>
      <c r="F92" s="207"/>
      <c r="G92" s="208"/>
      <c r="H92" s="222" t="s">
        <v>34</v>
      </c>
      <c r="I92" s="213">
        <f>I90*B5+B6</f>
        <v>-461.06576729059896</v>
      </c>
      <c r="J92" s="208"/>
      <c r="K92" s="208"/>
      <c r="L92" s="208"/>
      <c r="M92" s="208"/>
      <c r="N92" s="208"/>
      <c r="O92" s="209"/>
    </row>
    <row r="93" spans="2:15" x14ac:dyDescent="0.25">
      <c r="B93">
        <v>276.10593560134402</v>
      </c>
      <c r="F93" s="207"/>
      <c r="G93" s="208"/>
      <c r="H93" s="224" t="s">
        <v>35</v>
      </c>
      <c r="I93" s="216">
        <f>I91*B5+B6</f>
        <v>675.73716574966591</v>
      </c>
      <c r="J93" s="208"/>
      <c r="K93" s="208"/>
      <c r="L93" s="208"/>
      <c r="M93" s="208"/>
      <c r="N93" s="208"/>
      <c r="O93" s="209"/>
    </row>
    <row r="94" spans="2:15" x14ac:dyDescent="0.25">
      <c r="B94">
        <v>231.14994717325035</v>
      </c>
      <c r="F94" s="207"/>
      <c r="G94" s="208"/>
      <c r="H94" s="208"/>
      <c r="I94" s="208"/>
      <c r="J94" s="208"/>
      <c r="K94" s="208"/>
      <c r="L94" s="208"/>
      <c r="M94" s="208"/>
      <c r="N94" s="208"/>
      <c r="O94" s="209"/>
    </row>
    <row r="95" spans="2:15" x14ac:dyDescent="0.25">
      <c r="B95">
        <v>451.35681510249623</v>
      </c>
      <c r="F95" s="207"/>
      <c r="G95" s="240" t="s">
        <v>154</v>
      </c>
      <c r="H95" s="240"/>
      <c r="I95" s="240"/>
      <c r="J95" s="240"/>
      <c r="K95" s="240"/>
      <c r="L95" s="208"/>
      <c r="M95" s="208"/>
      <c r="N95" s="208"/>
      <c r="O95" s="209"/>
    </row>
    <row r="96" spans="2:15" x14ac:dyDescent="0.25">
      <c r="B96">
        <v>377.99447392841222</v>
      </c>
      <c r="F96" s="207"/>
      <c r="G96" s="208" t="s">
        <v>155</v>
      </c>
      <c r="H96" s="208"/>
      <c r="I96" s="208"/>
      <c r="J96" s="208"/>
      <c r="K96" s="208"/>
      <c r="L96" s="208"/>
      <c r="M96" s="208"/>
      <c r="N96" s="208"/>
      <c r="O96" s="209"/>
    </row>
    <row r="97" spans="2:15" ht="15.75" thickBot="1" x14ac:dyDescent="0.3">
      <c r="B97">
        <v>231.14875341067525</v>
      </c>
      <c r="F97" s="244"/>
      <c r="G97" s="245"/>
      <c r="H97" s="245"/>
      <c r="I97" s="245"/>
      <c r="J97" s="245"/>
      <c r="K97" s="245"/>
      <c r="L97" s="245"/>
      <c r="M97" s="245"/>
      <c r="N97" s="245"/>
      <c r="O97" s="246"/>
    </row>
    <row r="98" spans="2:15" x14ac:dyDescent="0.25">
      <c r="B98">
        <v>346.48290703620967</v>
      </c>
    </row>
    <row r="99" spans="2:15" x14ac:dyDescent="0.25">
      <c r="B99">
        <v>226.76677012610182</v>
      </c>
    </row>
    <row r="100" spans="2:15" x14ac:dyDescent="0.25">
      <c r="B100">
        <v>174.13636445966017</v>
      </c>
    </row>
    <row r="101" spans="2:15" x14ac:dyDescent="0.25">
      <c r="B101">
        <v>142.30540855911775</v>
      </c>
    </row>
    <row r="102" spans="2:15" x14ac:dyDescent="0.25">
      <c r="B102">
        <v>244.27590157224162</v>
      </c>
    </row>
    <row r="103" spans="2:15" x14ac:dyDescent="0.25">
      <c r="B103">
        <v>397.37821862898721</v>
      </c>
    </row>
    <row r="104" spans="2:15" x14ac:dyDescent="0.25">
      <c r="B104">
        <v>237.59635221384298</v>
      </c>
    </row>
    <row r="105" spans="2:15" x14ac:dyDescent="0.25">
      <c r="B105">
        <v>220.93927691093725</v>
      </c>
    </row>
    <row r="106" spans="2:15" x14ac:dyDescent="0.25">
      <c r="B106">
        <v>286.06030358890558</v>
      </c>
    </row>
    <row r="107" spans="2:15" x14ac:dyDescent="0.25">
      <c r="B107">
        <v>226.21835602386994</v>
      </c>
    </row>
    <row r="108" spans="2:15" x14ac:dyDescent="0.25">
      <c r="B108">
        <v>248.94548482633192</v>
      </c>
    </row>
    <row r="109" spans="2:15" x14ac:dyDescent="0.25">
      <c r="B109">
        <v>151.95935199053253</v>
      </c>
    </row>
    <row r="110" spans="2:15" x14ac:dyDescent="0.25">
      <c r="B110">
        <v>286.59932098359769</v>
      </c>
    </row>
    <row r="111" spans="2:15" x14ac:dyDescent="0.25">
      <c r="B111">
        <v>212.71632211551292</v>
      </c>
    </row>
    <row r="112" spans="2:15" x14ac:dyDescent="0.25">
      <c r="B112">
        <v>444.88721551799136</v>
      </c>
    </row>
    <row r="113" spans="2:2" x14ac:dyDescent="0.25">
      <c r="B113">
        <v>317.67924934083356</v>
      </c>
    </row>
    <row r="114" spans="2:2" x14ac:dyDescent="0.25">
      <c r="B114">
        <v>379.93919072307938</v>
      </c>
    </row>
    <row r="115" spans="2:2" x14ac:dyDescent="0.25">
      <c r="B115">
        <v>510.7117756242946</v>
      </c>
    </row>
    <row r="116" spans="2:2" x14ac:dyDescent="0.25">
      <c r="B116">
        <v>246.44375699248553</v>
      </c>
    </row>
    <row r="117" spans="2:2" x14ac:dyDescent="0.25">
      <c r="B117">
        <v>303.8170327537963</v>
      </c>
    </row>
    <row r="118" spans="2:2" x14ac:dyDescent="0.25">
      <c r="B118">
        <v>170.23205277051741</v>
      </c>
    </row>
    <row r="119" spans="2:2" x14ac:dyDescent="0.25">
      <c r="B119">
        <v>332.59062172400047</v>
      </c>
    </row>
    <row r="120" spans="2:2" x14ac:dyDescent="0.25">
      <c r="B120">
        <v>267.10806440858096</v>
      </c>
    </row>
    <row r="121" spans="2:2" x14ac:dyDescent="0.25">
      <c r="B121">
        <v>572.06845954357709</v>
      </c>
    </row>
    <row r="122" spans="2:2" x14ac:dyDescent="0.25">
      <c r="B122">
        <v>183.69137860330227</v>
      </c>
    </row>
    <row r="123" spans="2:2" x14ac:dyDescent="0.25">
      <c r="B123">
        <v>504.55670248329159</v>
      </c>
    </row>
  </sheetData>
  <sortState xmlns:xlrd2="http://schemas.microsoft.com/office/spreadsheetml/2017/richdata2" ref="F35:F46">
    <sortCondition ref="F35"/>
  </sortState>
  <mergeCells count="6">
    <mergeCell ref="G95:K95"/>
    <mergeCell ref="I77:J77"/>
    <mergeCell ref="I78:J78"/>
    <mergeCell ref="G82:K82"/>
    <mergeCell ref="G83:K83"/>
    <mergeCell ref="H85:I85"/>
  </mergeCells>
  <phoneticPr fontId="15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86BB9-49BB-414D-A0BB-98EAF7D753C0}">
  <dimension ref="B4:AA80"/>
  <sheetViews>
    <sheetView topLeftCell="A62" zoomScale="81" workbookViewId="0">
      <selection activeCell="H48" sqref="H48"/>
    </sheetView>
  </sheetViews>
  <sheetFormatPr defaultRowHeight="15" x14ac:dyDescent="0.25"/>
  <cols>
    <col min="9" max="9" width="17.140625" customWidth="1"/>
    <col min="13" max="14" width="20.42578125" customWidth="1"/>
    <col min="15" max="15" width="24.7109375" customWidth="1"/>
    <col min="16" max="16" width="19.140625" customWidth="1"/>
  </cols>
  <sheetData>
    <row r="4" spans="2:5" x14ac:dyDescent="0.25">
      <c r="B4" s="3" t="s">
        <v>2</v>
      </c>
      <c r="C4" s="3" t="s">
        <v>3</v>
      </c>
      <c r="D4" s="3" t="s">
        <v>4</v>
      </c>
      <c r="E4" s="3" t="s">
        <v>5</v>
      </c>
    </row>
    <row r="5" spans="2:5" x14ac:dyDescent="0.25">
      <c r="B5" s="4"/>
      <c r="C5" s="4" t="s">
        <v>6</v>
      </c>
      <c r="D5" s="4" t="s">
        <v>7</v>
      </c>
      <c r="E5" s="4"/>
    </row>
    <row r="6" spans="2:5" x14ac:dyDescent="0.25">
      <c r="B6" s="4">
        <v>2004</v>
      </c>
      <c r="C6" s="4">
        <v>61350</v>
      </c>
      <c r="D6" s="4">
        <v>182.5</v>
      </c>
      <c r="E6" s="4">
        <v>1008460</v>
      </c>
    </row>
    <row r="7" spans="2:5" x14ac:dyDescent="0.25">
      <c r="B7" s="4">
        <v>2005</v>
      </c>
      <c r="C7" s="4">
        <v>61400</v>
      </c>
      <c r="D7" s="4">
        <v>188</v>
      </c>
      <c r="E7" s="4">
        <v>1012140</v>
      </c>
    </row>
    <row r="8" spans="2:5" x14ac:dyDescent="0.25">
      <c r="B8" s="4">
        <v>2006</v>
      </c>
      <c r="C8" s="4">
        <v>61390</v>
      </c>
      <c r="D8" s="4">
        <v>190</v>
      </c>
      <c r="E8" s="4">
        <v>1056452</v>
      </c>
    </row>
    <row r="9" spans="2:5" x14ac:dyDescent="0.25">
      <c r="B9" s="4">
        <v>2007</v>
      </c>
      <c r="C9" s="4">
        <v>61480</v>
      </c>
      <c r="D9" s="4">
        <v>190.5</v>
      </c>
      <c r="E9" s="4">
        <v>1096450</v>
      </c>
    </row>
    <row r="10" spans="2:5" x14ac:dyDescent="0.25">
      <c r="B10" s="4">
        <v>2008</v>
      </c>
      <c r="C10" s="4">
        <v>61520</v>
      </c>
      <c r="D10" s="4">
        <v>220.4</v>
      </c>
      <c r="E10" s="4">
        <v>1120460</v>
      </c>
    </row>
    <row r="11" spans="2:5" x14ac:dyDescent="0.25">
      <c r="B11" s="4">
        <v>2009</v>
      </c>
      <c r="C11" s="4">
        <v>61500</v>
      </c>
      <c r="D11" s="6">
        <v>225.51</v>
      </c>
      <c r="E11" s="4">
        <v>1180450</v>
      </c>
    </row>
    <row r="12" spans="2:5" x14ac:dyDescent="0.25">
      <c r="B12" s="4">
        <v>2010</v>
      </c>
      <c r="C12" s="4">
        <v>61550</v>
      </c>
      <c r="D12" s="6">
        <v>244.64</v>
      </c>
      <c r="E12" s="4">
        <v>1210560</v>
      </c>
    </row>
    <row r="13" spans="2:5" x14ac:dyDescent="0.25">
      <c r="B13" s="4">
        <v>2011</v>
      </c>
      <c r="C13" s="4">
        <v>61590</v>
      </c>
      <c r="D13" s="7">
        <v>269</v>
      </c>
      <c r="E13" s="4">
        <v>1265450</v>
      </c>
    </row>
    <row r="14" spans="2:5" x14ac:dyDescent="0.25">
      <c r="B14" s="4">
        <v>2012</v>
      </c>
      <c r="C14" s="4">
        <v>61600</v>
      </c>
      <c r="D14" s="7">
        <v>285</v>
      </c>
      <c r="E14" s="4">
        <v>1397780</v>
      </c>
    </row>
    <row r="15" spans="2:5" x14ac:dyDescent="0.25">
      <c r="B15" s="4">
        <v>2013</v>
      </c>
      <c r="C15" s="4">
        <v>61650</v>
      </c>
      <c r="D15" s="7">
        <v>297</v>
      </c>
      <c r="E15" s="4">
        <v>1410000</v>
      </c>
    </row>
    <row r="16" spans="2:5" x14ac:dyDescent="0.25">
      <c r="B16" s="4">
        <v>2014</v>
      </c>
      <c r="C16" s="4">
        <v>61700</v>
      </c>
      <c r="D16" s="7">
        <v>310</v>
      </c>
      <c r="E16" s="4">
        <v>1492040</v>
      </c>
    </row>
    <row r="17" spans="2:27" x14ac:dyDescent="0.25">
      <c r="B17" s="4">
        <v>2015</v>
      </c>
      <c r="C17" s="4">
        <v>61700</v>
      </c>
      <c r="D17" s="7">
        <v>310</v>
      </c>
      <c r="E17" s="4">
        <v>1525000</v>
      </c>
    </row>
    <row r="18" spans="2:27" x14ac:dyDescent="0.25">
      <c r="B18" s="4">
        <v>2016</v>
      </c>
      <c r="C18" s="4">
        <v>61800</v>
      </c>
      <c r="D18" s="7">
        <v>326</v>
      </c>
      <c r="E18" s="4">
        <v>1604570</v>
      </c>
    </row>
    <row r="19" spans="2:27" x14ac:dyDescent="0.25">
      <c r="B19" s="4">
        <v>2017</v>
      </c>
      <c r="C19" s="4">
        <v>61820</v>
      </c>
      <c r="D19" s="7">
        <v>369</v>
      </c>
      <c r="E19" s="4">
        <v>1666270</v>
      </c>
    </row>
    <row r="20" spans="2:27" x14ac:dyDescent="0.25">
      <c r="B20" s="4">
        <v>2018</v>
      </c>
      <c r="C20" s="4">
        <v>62000</v>
      </c>
      <c r="D20" s="7">
        <v>419</v>
      </c>
      <c r="E20" s="4">
        <v>1750440</v>
      </c>
    </row>
    <row r="21" spans="2:27" x14ac:dyDescent="0.25">
      <c r="B21" s="4">
        <v>2019</v>
      </c>
      <c r="C21" s="4">
        <v>63400</v>
      </c>
      <c r="D21" s="7">
        <v>477</v>
      </c>
      <c r="E21" s="4">
        <v>1811160</v>
      </c>
    </row>
    <row r="22" spans="2:27" x14ac:dyDescent="0.25">
      <c r="B22" s="4">
        <v>2020</v>
      </c>
      <c r="C22" s="4">
        <v>64600</v>
      </c>
      <c r="D22" s="7">
        <v>529</v>
      </c>
      <c r="E22" s="4">
        <v>1851006</v>
      </c>
    </row>
    <row r="23" spans="2:27" x14ac:dyDescent="0.25">
      <c r="B23" s="4">
        <v>2021</v>
      </c>
      <c r="C23" s="4">
        <v>70000</v>
      </c>
      <c r="D23" s="7">
        <v>615</v>
      </c>
      <c r="E23" s="4">
        <v>1890851</v>
      </c>
    </row>
    <row r="24" spans="2:27" x14ac:dyDescent="0.25">
      <c r="E24" s="4"/>
      <c r="H24" t="s">
        <v>73</v>
      </c>
    </row>
    <row r="25" spans="2:27" ht="15.75" thickBot="1" x14ac:dyDescent="0.3">
      <c r="R25" s="68"/>
      <c r="S25" s="68"/>
      <c r="T25" s="68"/>
      <c r="U25" s="68"/>
      <c r="V25" s="68"/>
      <c r="W25" s="68"/>
      <c r="X25" s="68"/>
      <c r="Y25" s="68"/>
      <c r="Z25" s="68"/>
      <c r="AA25" s="68"/>
    </row>
    <row r="26" spans="2:27" x14ac:dyDescent="0.25">
      <c r="H26" s="46" t="s">
        <v>74</v>
      </c>
      <c r="I26" s="46"/>
      <c r="R26" s="68"/>
      <c r="S26" s="68"/>
      <c r="T26" s="68"/>
      <c r="U26" s="68"/>
      <c r="V26" s="68"/>
      <c r="W26" s="68"/>
      <c r="X26" s="68"/>
      <c r="Y26" s="68"/>
      <c r="Z26" s="68"/>
      <c r="AA26" s="68"/>
    </row>
    <row r="27" spans="2:27" x14ac:dyDescent="0.25">
      <c r="H27" t="s">
        <v>75</v>
      </c>
      <c r="I27" s="42">
        <v>0.94501670772801161</v>
      </c>
      <c r="R27" s="68"/>
      <c r="S27" s="265"/>
      <c r="T27" s="265"/>
      <c r="U27" s="68"/>
      <c r="V27" s="68"/>
      <c r="W27" s="68"/>
      <c r="X27" s="68"/>
      <c r="Y27" s="68"/>
      <c r="Z27" s="68"/>
      <c r="AA27" s="68"/>
    </row>
    <row r="28" spans="2:27" x14ac:dyDescent="0.25">
      <c r="H28" t="s">
        <v>76</v>
      </c>
      <c r="I28" s="42">
        <v>0.89305657788509007</v>
      </c>
      <c r="R28" s="68"/>
      <c r="S28" s="68"/>
      <c r="T28" s="68"/>
      <c r="U28" s="68"/>
      <c r="V28" s="68"/>
      <c r="W28" s="68"/>
      <c r="X28" s="68"/>
      <c r="Y28" s="68"/>
      <c r="Z28" s="68"/>
      <c r="AA28" s="68"/>
    </row>
    <row r="29" spans="2:27" x14ac:dyDescent="0.25">
      <c r="H29" t="s">
        <v>77</v>
      </c>
      <c r="I29" s="42">
        <v>0.88637261400290823</v>
      </c>
      <c r="R29" s="68"/>
      <c r="S29" s="68"/>
      <c r="T29" s="68"/>
      <c r="U29" s="68"/>
      <c r="V29" s="68"/>
      <c r="W29" s="68"/>
      <c r="X29" s="68"/>
      <c r="Y29" s="68"/>
      <c r="Z29" s="68"/>
      <c r="AA29" s="68"/>
    </row>
    <row r="30" spans="2:27" x14ac:dyDescent="0.25">
      <c r="H30" t="s">
        <v>78</v>
      </c>
      <c r="I30" s="42">
        <v>102313.75723259419</v>
      </c>
      <c r="R30" s="68"/>
      <c r="S30" s="68"/>
      <c r="T30" s="68"/>
      <c r="U30" s="68"/>
      <c r="V30" s="68"/>
      <c r="W30" s="68"/>
      <c r="X30" s="68"/>
      <c r="Y30" s="68"/>
      <c r="Z30" s="68"/>
      <c r="AA30" s="68"/>
    </row>
    <row r="31" spans="2:27" ht="15.75" thickBot="1" x14ac:dyDescent="0.3">
      <c r="H31" s="15" t="s">
        <v>79</v>
      </c>
      <c r="I31" s="15">
        <v>18</v>
      </c>
      <c r="R31" s="68"/>
      <c r="S31" s="68"/>
      <c r="T31" s="68"/>
      <c r="U31" s="68"/>
      <c r="V31" s="68"/>
      <c r="W31" s="68"/>
      <c r="X31" s="68"/>
      <c r="Y31" s="68"/>
      <c r="Z31" s="68"/>
      <c r="AA31" s="68"/>
    </row>
    <row r="32" spans="2:27" x14ac:dyDescent="0.25">
      <c r="R32" s="68"/>
      <c r="S32" s="68"/>
      <c r="T32" s="68"/>
      <c r="U32" s="68"/>
      <c r="V32" s="68"/>
      <c r="W32" s="68"/>
      <c r="X32" s="68"/>
      <c r="Y32" s="68"/>
      <c r="Z32" s="68"/>
      <c r="AA32" s="68"/>
    </row>
    <row r="33" spans="8:27" ht="15.75" thickBot="1" x14ac:dyDescent="0.3">
      <c r="H33" t="s">
        <v>80</v>
      </c>
      <c r="R33" s="68"/>
      <c r="S33" s="68"/>
      <c r="T33" s="68"/>
      <c r="U33" s="68"/>
      <c r="V33" s="68"/>
      <c r="W33" s="68"/>
      <c r="X33" s="68"/>
      <c r="Y33" s="68"/>
      <c r="Z33" s="68"/>
      <c r="AA33" s="68"/>
    </row>
    <row r="34" spans="8:27" x14ac:dyDescent="0.25">
      <c r="H34" s="13"/>
      <c r="I34" s="13" t="s">
        <v>85</v>
      </c>
      <c r="J34" s="13" t="s">
        <v>86</v>
      </c>
      <c r="K34" s="13" t="s">
        <v>87</v>
      </c>
      <c r="L34" s="13" t="s">
        <v>88</v>
      </c>
      <c r="M34" s="13" t="s">
        <v>89</v>
      </c>
      <c r="R34" s="68"/>
      <c r="S34" s="68"/>
      <c r="T34" s="68"/>
      <c r="U34" s="68"/>
      <c r="V34" s="68"/>
      <c r="W34" s="68"/>
      <c r="X34" s="68"/>
      <c r="Y34" s="68"/>
      <c r="Z34" s="68"/>
      <c r="AA34" s="68"/>
    </row>
    <row r="35" spans="8:27" x14ac:dyDescent="0.25">
      <c r="H35" t="s">
        <v>81</v>
      </c>
      <c r="I35">
        <v>1</v>
      </c>
      <c r="J35" s="47">
        <v>1398662548262.8076</v>
      </c>
      <c r="K35" s="47">
        <v>1398662548262.8076</v>
      </c>
      <c r="L35" s="47">
        <v>133.61181981635218</v>
      </c>
      <c r="M35" s="47">
        <v>3.5321870949236528E-9</v>
      </c>
      <c r="R35" s="68"/>
      <c r="S35" s="96"/>
      <c r="T35" s="96"/>
      <c r="U35" s="96"/>
      <c r="V35" s="96"/>
      <c r="W35" s="96"/>
      <c r="X35" s="96"/>
      <c r="Y35" s="68"/>
      <c r="Z35" s="68"/>
      <c r="AA35" s="68"/>
    </row>
    <row r="36" spans="8:27" x14ac:dyDescent="0.25">
      <c r="H36" t="s">
        <v>82</v>
      </c>
      <c r="I36">
        <v>16</v>
      </c>
      <c r="J36" s="47">
        <v>167489678704.8035</v>
      </c>
      <c r="K36" s="47">
        <v>10468104919.050219</v>
      </c>
      <c r="L36" s="47"/>
      <c r="M36" s="47"/>
      <c r="R36" s="68"/>
      <c r="S36" s="68"/>
      <c r="T36" s="68"/>
      <c r="U36" s="68"/>
      <c r="V36" s="68"/>
      <c r="W36" s="68"/>
      <c r="X36" s="68"/>
      <c r="Y36" s="68"/>
      <c r="Z36" s="68"/>
      <c r="AA36" s="68"/>
    </row>
    <row r="37" spans="8:27" ht="15.75" thickBot="1" x14ac:dyDescent="0.3">
      <c r="H37" s="15" t="s">
        <v>83</v>
      </c>
      <c r="I37" s="15">
        <v>17</v>
      </c>
      <c r="J37" s="48">
        <v>1566152226967.6111</v>
      </c>
      <c r="K37" s="48"/>
      <c r="L37" s="48"/>
      <c r="M37" s="48"/>
      <c r="R37" s="68"/>
      <c r="S37" s="68"/>
      <c r="T37" s="68"/>
      <c r="U37" s="68"/>
      <c r="V37" s="68"/>
      <c r="W37" s="68"/>
      <c r="X37" s="68"/>
      <c r="Y37" s="68"/>
      <c r="Z37" s="68"/>
      <c r="AA37" s="68"/>
    </row>
    <row r="38" spans="8:27" ht="15.75" thickBot="1" x14ac:dyDescent="0.3">
      <c r="R38" s="68"/>
      <c r="S38" s="68"/>
      <c r="T38" s="68"/>
      <c r="U38" s="68"/>
      <c r="V38" s="68"/>
      <c r="W38" s="68"/>
      <c r="X38" s="68"/>
      <c r="Y38" s="68"/>
      <c r="Z38" s="68"/>
      <c r="AA38" s="68"/>
    </row>
    <row r="39" spans="8:27" x14ac:dyDescent="0.25">
      <c r="H39" s="13"/>
      <c r="I39" s="13" t="s">
        <v>90</v>
      </c>
      <c r="J39" s="13" t="s">
        <v>78</v>
      </c>
      <c r="K39" s="13" t="s">
        <v>91</v>
      </c>
      <c r="L39" s="13" t="s">
        <v>92</v>
      </c>
      <c r="M39" s="13" t="s">
        <v>93</v>
      </c>
      <c r="N39" s="13" t="s">
        <v>94</v>
      </c>
      <c r="O39" s="13" t="s">
        <v>95</v>
      </c>
      <c r="P39" s="13" t="s">
        <v>96</v>
      </c>
      <c r="R39" s="68"/>
      <c r="S39" s="68"/>
      <c r="T39" s="68"/>
      <c r="U39" s="68"/>
      <c r="V39" s="68"/>
      <c r="W39" s="68"/>
      <c r="X39" s="68"/>
      <c r="Y39" s="68"/>
      <c r="Z39" s="68"/>
      <c r="AA39" s="68"/>
    </row>
    <row r="40" spans="8:27" x14ac:dyDescent="0.25">
      <c r="H40" t="s">
        <v>84</v>
      </c>
      <c r="I40" s="42">
        <v>688817.74861628504</v>
      </c>
      <c r="J40" s="42">
        <v>66752.998338159494</v>
      </c>
      <c r="K40" s="42">
        <v>10.318903506429027</v>
      </c>
      <c r="L40" s="42">
        <v>1.7716634717040437E-8</v>
      </c>
      <c r="M40" s="42">
        <v>547307.71370031312</v>
      </c>
      <c r="N40" s="42">
        <v>830327.78353225696</v>
      </c>
      <c r="O40" s="42">
        <v>547307.71370031312</v>
      </c>
      <c r="P40" s="42">
        <v>830327.78353225696</v>
      </c>
      <c r="R40" s="68"/>
      <c r="S40" s="96"/>
      <c r="T40" s="96"/>
      <c r="U40" s="96"/>
      <c r="V40" s="96"/>
      <c r="W40" s="96"/>
      <c r="X40" s="96"/>
      <c r="Y40" s="96"/>
      <c r="Z40" s="96"/>
      <c r="AA40" s="96"/>
    </row>
    <row r="41" spans="8:27" ht="15.75" thickBot="1" x14ac:dyDescent="0.3">
      <c r="H41" s="15" t="s">
        <v>97</v>
      </c>
      <c r="I41" s="49">
        <v>2293.1748324329792</v>
      </c>
      <c r="J41" s="49">
        <v>198.38769299903765</v>
      </c>
      <c r="K41" s="49">
        <v>11.55905791214631</v>
      </c>
      <c r="L41" s="49">
        <v>3.53218709492364E-9</v>
      </c>
      <c r="M41" s="49">
        <v>1872.6117107440398</v>
      </c>
      <c r="N41" s="49">
        <v>2713.7379541219188</v>
      </c>
      <c r="O41" s="49">
        <v>1872.6117107440398</v>
      </c>
      <c r="P41" s="49">
        <v>2713.7379541219188</v>
      </c>
      <c r="R41" s="68"/>
      <c r="S41" s="68"/>
      <c r="T41" s="68"/>
      <c r="U41" s="68"/>
      <c r="V41" s="68"/>
      <c r="W41" s="68"/>
      <c r="X41" s="68"/>
      <c r="Y41" s="68"/>
      <c r="Z41" s="68"/>
      <c r="AA41" s="68"/>
    </row>
    <row r="42" spans="8:27" x14ac:dyDescent="0.25">
      <c r="R42" s="68"/>
      <c r="S42" s="68"/>
      <c r="T42" s="68"/>
      <c r="U42" s="68"/>
      <c r="V42" s="68"/>
      <c r="W42" s="68"/>
      <c r="X42" s="68"/>
      <c r="Y42" s="68"/>
      <c r="Z42" s="68"/>
      <c r="AA42" s="68"/>
    </row>
    <row r="43" spans="8:27" x14ac:dyDescent="0.25">
      <c r="H43" t="s">
        <v>98</v>
      </c>
      <c r="R43" s="68"/>
      <c r="S43" s="68"/>
      <c r="T43" s="68"/>
      <c r="U43" s="68"/>
      <c r="V43" s="68"/>
      <c r="W43" s="68"/>
      <c r="X43" s="68"/>
      <c r="Y43" s="68"/>
      <c r="Z43" s="68"/>
      <c r="AA43" s="68"/>
    </row>
    <row r="44" spans="8:27" x14ac:dyDescent="0.25">
      <c r="R44" s="68"/>
      <c r="S44" s="68"/>
      <c r="T44" s="68"/>
      <c r="U44" s="68"/>
      <c r="V44" s="68"/>
      <c r="W44" s="68"/>
      <c r="X44" s="68"/>
      <c r="Y44" s="68"/>
      <c r="Z44" s="68"/>
      <c r="AA44" s="68"/>
    </row>
    <row r="45" spans="8:27" x14ac:dyDescent="0.25">
      <c r="H45" s="51" t="s">
        <v>151</v>
      </c>
      <c r="R45" s="68"/>
      <c r="S45" s="68"/>
      <c r="T45" s="68"/>
      <c r="U45" s="68"/>
      <c r="V45" s="68"/>
      <c r="W45" s="68"/>
      <c r="X45" s="68"/>
      <c r="Y45" s="68"/>
      <c r="Z45" s="68"/>
      <c r="AA45" s="68"/>
    </row>
    <row r="46" spans="8:27" x14ac:dyDescent="0.25">
      <c r="H46" s="50"/>
      <c r="R46" s="68"/>
      <c r="S46" s="68"/>
      <c r="T46" s="68"/>
      <c r="U46" s="68"/>
      <c r="V46" s="68"/>
      <c r="W46" s="68"/>
      <c r="X46" s="68"/>
      <c r="Y46" s="68"/>
      <c r="Z46" s="68"/>
      <c r="AA46" s="68"/>
    </row>
    <row r="47" spans="8:27" x14ac:dyDescent="0.25">
      <c r="H47" s="28" t="s">
        <v>99</v>
      </c>
      <c r="I47" s="52">
        <v>150000</v>
      </c>
      <c r="R47" s="68"/>
      <c r="S47" s="68"/>
      <c r="T47" s="68"/>
      <c r="U47" s="68"/>
      <c r="V47" s="68"/>
      <c r="W47" s="68"/>
      <c r="X47" s="68"/>
      <c r="Y47" s="68"/>
      <c r="Z47" s="68"/>
      <c r="AA47" s="68"/>
    </row>
    <row r="48" spans="8:27" x14ac:dyDescent="0.25">
      <c r="H48" s="133" t="s">
        <v>100</v>
      </c>
      <c r="I48" s="53">
        <f>I40+I41*I47</f>
        <v>344665042.61356318</v>
      </c>
      <c r="J48" t="s">
        <v>153</v>
      </c>
      <c r="R48" s="68"/>
      <c r="S48" s="68"/>
      <c r="T48" s="68"/>
      <c r="U48" s="68"/>
      <c r="V48" s="68"/>
      <c r="W48" s="68"/>
      <c r="X48" s="68"/>
      <c r="Y48" s="68"/>
      <c r="Z48" s="68"/>
      <c r="AA48" s="68"/>
    </row>
    <row r="50" spans="7:18" x14ac:dyDescent="0.25">
      <c r="H50" t="s">
        <v>152</v>
      </c>
    </row>
    <row r="51" spans="7:18" ht="15.75" thickBot="1" x14ac:dyDescent="0.3"/>
    <row r="52" spans="7:18" x14ac:dyDescent="0.25">
      <c r="G52" s="31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3"/>
    </row>
    <row r="53" spans="7:18" ht="19.5" thickBot="1" x14ac:dyDescent="0.35">
      <c r="G53" s="34"/>
      <c r="H53" s="68"/>
      <c r="I53" s="68"/>
      <c r="J53" s="266" t="s">
        <v>167</v>
      </c>
      <c r="K53" s="68"/>
      <c r="L53" s="68"/>
      <c r="M53" s="68"/>
      <c r="N53" s="68"/>
      <c r="O53" s="68"/>
      <c r="P53" s="68"/>
      <c r="Q53" s="68"/>
      <c r="R53" s="36"/>
    </row>
    <row r="54" spans="7:18" ht="17.25" x14ac:dyDescent="0.25">
      <c r="G54" s="34"/>
      <c r="H54" s="19" t="s">
        <v>168</v>
      </c>
      <c r="I54" s="262" t="s">
        <v>169</v>
      </c>
      <c r="J54" s="262" t="s">
        <v>170</v>
      </c>
      <c r="K54" s="262" t="s">
        <v>171</v>
      </c>
      <c r="L54" s="262" t="s">
        <v>172</v>
      </c>
      <c r="M54" s="20" t="s">
        <v>173</v>
      </c>
      <c r="N54" s="68"/>
      <c r="O54" s="68"/>
      <c r="P54" s="68"/>
      <c r="Q54" s="68"/>
      <c r="R54" s="36"/>
    </row>
    <row r="55" spans="7:18" x14ac:dyDescent="0.25">
      <c r="G55" s="34"/>
      <c r="H55" s="21" cm="1">
        <f t="array" aca="1" ref="H55" ca="1">INDEX(DataS,RANDBETWEEN(1,ROWS(DataS)),RANDBETWEEN(1,COLUMNS(DataS)))</f>
        <v>61800</v>
      </c>
      <c r="I55" s="39">
        <v>64600</v>
      </c>
      <c r="J55" s="39">
        <v>65000</v>
      </c>
      <c r="K55" s="39">
        <f>I55-J55</f>
        <v>-400</v>
      </c>
      <c r="L55" s="39">
        <f>K55^2</f>
        <v>160000</v>
      </c>
      <c r="M55" s="22">
        <f>L55/J55</f>
        <v>2.4615384615384617</v>
      </c>
      <c r="N55" s="68"/>
      <c r="O55" s="68"/>
      <c r="P55" s="68"/>
      <c r="Q55" s="68"/>
      <c r="R55" s="36"/>
    </row>
    <row r="56" spans="7:18" x14ac:dyDescent="0.25">
      <c r="G56" s="34"/>
      <c r="H56" s="21" cm="1">
        <f t="array" aca="1" ref="H56" ca="1">INDEX(DataS,RANDBETWEEN(1,ROWS(DataS)),RANDBETWEEN(1,COLUMNS(DataS)))</f>
        <v>61700</v>
      </c>
      <c r="I56" s="39">
        <v>61400</v>
      </c>
      <c r="J56" s="39">
        <v>61000</v>
      </c>
      <c r="K56" s="39">
        <f t="shared" ref="K56:K64" si="0">I56-J56</f>
        <v>400</v>
      </c>
      <c r="L56" s="39">
        <f t="shared" ref="L56:L64" si="1">K56^2</f>
        <v>160000</v>
      </c>
      <c r="M56" s="22">
        <f t="shared" ref="M56:M64" si="2">L56/J56</f>
        <v>2.622950819672131</v>
      </c>
      <c r="N56" s="68"/>
      <c r="O56" s="68"/>
      <c r="P56" s="68"/>
      <c r="Q56" s="68"/>
      <c r="R56" s="36"/>
    </row>
    <row r="57" spans="7:18" x14ac:dyDescent="0.25">
      <c r="G57" s="34"/>
      <c r="H57" s="21" cm="1">
        <f t="array" aca="1" ref="H57" ca="1">INDEX(DataS,RANDBETWEEN(1,ROWS(DataS)),RANDBETWEEN(1,COLUMNS(DataS)))</f>
        <v>64600</v>
      </c>
      <c r="I57" s="39">
        <v>61480</v>
      </c>
      <c r="J57" s="39">
        <v>61700</v>
      </c>
      <c r="K57" s="39">
        <f t="shared" si="0"/>
        <v>-220</v>
      </c>
      <c r="L57" s="39">
        <f t="shared" si="1"/>
        <v>48400</v>
      </c>
      <c r="M57" s="22">
        <f t="shared" si="2"/>
        <v>0.78444084278768234</v>
      </c>
      <c r="N57" s="68"/>
      <c r="O57" s="68"/>
      <c r="P57" s="68"/>
      <c r="Q57" s="68"/>
      <c r="R57" s="36"/>
    </row>
    <row r="58" spans="7:18" x14ac:dyDescent="0.25">
      <c r="G58" s="34"/>
      <c r="H58" s="21" cm="1">
        <f t="array" aca="1" ref="H58" ca="1">INDEX(DataS,RANDBETWEEN(1,ROWS(DataS)),RANDBETWEEN(1,COLUMNS(DataS)))</f>
        <v>61650</v>
      </c>
      <c r="I58" s="39">
        <v>61800</v>
      </c>
      <c r="J58" s="39">
        <v>61600</v>
      </c>
      <c r="K58" s="39">
        <f t="shared" si="0"/>
        <v>200</v>
      </c>
      <c r="L58" s="39">
        <f t="shared" si="1"/>
        <v>40000</v>
      </c>
      <c r="M58" s="22">
        <f t="shared" si="2"/>
        <v>0.64935064935064934</v>
      </c>
      <c r="N58" s="68"/>
      <c r="O58" s="68"/>
      <c r="P58" s="68"/>
      <c r="Q58" s="68"/>
      <c r="R58" s="36"/>
    </row>
    <row r="59" spans="7:18" x14ac:dyDescent="0.25">
      <c r="G59" s="34"/>
      <c r="H59" s="21" cm="1">
        <f t="array" aca="1" ref="H59" ca="1">INDEX(DataS,RANDBETWEEN(1,ROWS(DataS)),RANDBETWEEN(1,COLUMNS(DataS)))</f>
        <v>61520</v>
      </c>
      <c r="I59" s="39">
        <v>61390</v>
      </c>
      <c r="J59" s="39">
        <v>61500</v>
      </c>
      <c r="K59" s="39">
        <f t="shared" si="0"/>
        <v>-110</v>
      </c>
      <c r="L59" s="39">
        <f t="shared" si="1"/>
        <v>12100</v>
      </c>
      <c r="M59" s="22">
        <f t="shared" si="2"/>
        <v>0.1967479674796748</v>
      </c>
      <c r="N59" s="68"/>
      <c r="O59" s="68"/>
      <c r="P59" s="68"/>
      <c r="Q59" s="68"/>
      <c r="R59" s="36"/>
    </row>
    <row r="60" spans="7:18" x14ac:dyDescent="0.25">
      <c r="G60" s="34"/>
      <c r="H60" s="21" cm="1">
        <f t="array" aca="1" ref="H60" ca="1">INDEX(DataS,RANDBETWEEN(1,ROWS(DataS)),RANDBETWEEN(1,COLUMNS(DataS)))</f>
        <v>63400</v>
      </c>
      <c r="I60" s="39">
        <v>61600</v>
      </c>
      <c r="J60" s="39">
        <v>61550</v>
      </c>
      <c r="K60" s="39">
        <f t="shared" si="0"/>
        <v>50</v>
      </c>
      <c r="L60" s="39">
        <f t="shared" si="1"/>
        <v>2500</v>
      </c>
      <c r="M60" s="22">
        <f t="shared" si="2"/>
        <v>4.0617384240454912E-2</v>
      </c>
      <c r="N60" s="68"/>
      <c r="O60" s="68"/>
      <c r="P60" s="68"/>
      <c r="Q60" s="68"/>
      <c r="R60" s="36"/>
    </row>
    <row r="61" spans="7:18" x14ac:dyDescent="0.25">
      <c r="G61" s="34"/>
      <c r="H61" s="21" cm="1">
        <f t="array" aca="1" ref="H61" ca="1">INDEX(DataS,RANDBETWEEN(1,ROWS(DataS)),RANDBETWEEN(1,COLUMNS(DataS)))</f>
        <v>61350</v>
      </c>
      <c r="I61" s="39">
        <v>61700</v>
      </c>
      <c r="J61" s="39">
        <v>61700</v>
      </c>
      <c r="K61" s="39">
        <f t="shared" si="0"/>
        <v>0</v>
      </c>
      <c r="L61" s="39">
        <f t="shared" si="1"/>
        <v>0</v>
      </c>
      <c r="M61" s="22">
        <f t="shared" si="2"/>
        <v>0</v>
      </c>
      <c r="N61" s="68"/>
      <c r="O61" s="68"/>
      <c r="P61" s="68"/>
      <c r="Q61" s="68"/>
      <c r="R61" s="36"/>
    </row>
    <row r="62" spans="7:18" x14ac:dyDescent="0.25">
      <c r="G62" s="34"/>
      <c r="H62" s="21" cm="1">
        <f t="array" aca="1" ref="H62" ca="1">INDEX(DataS,RANDBETWEEN(1,ROWS(DataS)),RANDBETWEEN(1,COLUMNS(DataS)))</f>
        <v>62000</v>
      </c>
      <c r="I62" s="39">
        <v>61590</v>
      </c>
      <c r="J62" s="39">
        <v>61520</v>
      </c>
      <c r="K62" s="39">
        <f t="shared" si="0"/>
        <v>70</v>
      </c>
      <c r="L62" s="39">
        <f t="shared" si="1"/>
        <v>4900</v>
      </c>
      <c r="M62" s="22">
        <f t="shared" si="2"/>
        <v>7.9648894668400513E-2</v>
      </c>
      <c r="N62" s="68"/>
      <c r="O62" s="68"/>
      <c r="P62" s="68"/>
      <c r="Q62" s="68"/>
      <c r="R62" s="36"/>
    </row>
    <row r="63" spans="7:18" x14ac:dyDescent="0.25">
      <c r="G63" s="34"/>
      <c r="H63" s="21" cm="1">
        <f t="array" aca="1" ref="H63" ca="1">INDEX(DataS,RANDBETWEEN(1,ROWS(DataS)),RANDBETWEEN(1,COLUMNS(DataS)))</f>
        <v>61820</v>
      </c>
      <c r="I63" s="39">
        <v>61550</v>
      </c>
      <c r="J63" s="39">
        <v>61800</v>
      </c>
      <c r="K63" s="39">
        <f t="shared" si="0"/>
        <v>-250</v>
      </c>
      <c r="L63" s="39">
        <f t="shared" si="1"/>
        <v>62500</v>
      </c>
      <c r="M63" s="22">
        <f t="shared" si="2"/>
        <v>1.0113268608414239</v>
      </c>
      <c r="N63" s="68"/>
      <c r="O63" s="68"/>
      <c r="P63" s="68"/>
      <c r="Q63" s="68"/>
      <c r="R63" s="36"/>
    </row>
    <row r="64" spans="7:18" ht="15.75" thickBot="1" x14ac:dyDescent="0.3">
      <c r="G64" s="34"/>
      <c r="H64" s="26" cm="1">
        <f t="array" aca="1" ref="H64" ca="1">INDEX(DataS,RANDBETWEEN(1,ROWS(DataS)),RANDBETWEEN(1,COLUMNS(DataS)))</f>
        <v>61480</v>
      </c>
      <c r="I64" s="263">
        <v>61520</v>
      </c>
      <c r="J64" s="263">
        <v>61400</v>
      </c>
      <c r="K64" s="263">
        <f t="shared" si="0"/>
        <v>120</v>
      </c>
      <c r="L64" s="263">
        <f t="shared" si="1"/>
        <v>14400</v>
      </c>
      <c r="M64" s="35">
        <f t="shared" si="2"/>
        <v>0.23452768729641693</v>
      </c>
      <c r="N64" s="68"/>
      <c r="O64" s="68"/>
      <c r="P64" s="68"/>
      <c r="Q64" s="68"/>
      <c r="R64" s="36"/>
    </row>
    <row r="65" spans="7:18" x14ac:dyDescent="0.25">
      <c r="G65" s="34"/>
      <c r="H65" s="68"/>
      <c r="I65" s="68"/>
      <c r="J65" s="68"/>
      <c r="K65" s="68"/>
      <c r="L65" s="68"/>
      <c r="M65" s="267"/>
      <c r="N65" s="68"/>
      <c r="O65" s="68"/>
      <c r="P65" s="68"/>
      <c r="Q65" s="68"/>
      <c r="R65" s="36"/>
    </row>
    <row r="66" spans="7:18" x14ac:dyDescent="0.25">
      <c r="G66" s="34"/>
      <c r="H66" s="68"/>
      <c r="I66" s="68"/>
      <c r="J66" s="68"/>
      <c r="K66" s="68"/>
      <c r="L66" s="68" t="s">
        <v>174</v>
      </c>
      <c r="M66" s="268">
        <f>SUM(M55:M64)</f>
        <v>8.0811495678752934</v>
      </c>
      <c r="N66" s="68"/>
      <c r="O66" s="68"/>
      <c r="P66" s="68"/>
      <c r="Q66" s="68"/>
      <c r="R66" s="36"/>
    </row>
    <row r="67" spans="7:18" x14ac:dyDescent="0.25">
      <c r="G67" s="34"/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36"/>
    </row>
    <row r="68" spans="7:18" x14ac:dyDescent="0.25">
      <c r="G68" s="34"/>
      <c r="H68" s="68"/>
      <c r="I68" s="68"/>
      <c r="J68" s="68"/>
      <c r="K68" s="68"/>
      <c r="L68" s="68"/>
      <c r="M68" s="68"/>
      <c r="N68" s="68"/>
      <c r="O68" s="68"/>
      <c r="P68" s="68"/>
      <c r="Q68" s="68"/>
      <c r="R68" s="36"/>
    </row>
    <row r="69" spans="7:18" ht="18" x14ac:dyDescent="0.35">
      <c r="G69" s="34"/>
      <c r="H69" s="68"/>
      <c r="I69" s="68" t="s">
        <v>113</v>
      </c>
      <c r="J69" s="68" t="s">
        <v>175</v>
      </c>
      <c r="K69" s="68"/>
      <c r="L69" s="68"/>
      <c r="M69" s="68"/>
      <c r="N69" s="68"/>
      <c r="O69" s="68"/>
      <c r="P69" s="68"/>
      <c r="Q69" s="68"/>
      <c r="R69" s="36"/>
    </row>
    <row r="70" spans="7:18" ht="18" x14ac:dyDescent="0.35">
      <c r="G70" s="34"/>
      <c r="H70" s="68"/>
      <c r="I70" s="68" t="s">
        <v>114</v>
      </c>
      <c r="J70" s="68" t="s">
        <v>176</v>
      </c>
      <c r="K70" s="68"/>
      <c r="L70" s="68"/>
      <c r="M70" s="68"/>
      <c r="N70" s="68"/>
      <c r="O70" s="68"/>
      <c r="P70" s="68"/>
      <c r="Q70" s="68"/>
      <c r="R70" s="36"/>
    </row>
    <row r="71" spans="7:18" x14ac:dyDescent="0.25">
      <c r="G71" s="34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36"/>
    </row>
    <row r="72" spans="7:18" x14ac:dyDescent="0.25">
      <c r="G72" s="34"/>
      <c r="H72" s="68"/>
      <c r="I72" s="69" t="s">
        <v>115</v>
      </c>
      <c r="J72" s="69">
        <f>COUNT(I55:I64)</f>
        <v>10</v>
      </c>
      <c r="K72" s="68"/>
      <c r="L72" s="68"/>
      <c r="M72" s="68"/>
      <c r="N72" s="68"/>
      <c r="O72" s="68"/>
      <c r="P72" s="68"/>
      <c r="Q72" s="68"/>
      <c r="R72" s="36"/>
    </row>
    <row r="73" spans="7:18" x14ac:dyDescent="0.25">
      <c r="G73" s="34"/>
      <c r="H73" s="68"/>
      <c r="I73" s="69" t="s">
        <v>85</v>
      </c>
      <c r="J73" s="69">
        <f>J72-1</f>
        <v>9</v>
      </c>
      <c r="K73" s="68"/>
      <c r="L73" s="68"/>
      <c r="M73" s="68"/>
      <c r="N73" s="68"/>
      <c r="O73" s="68"/>
      <c r="P73" s="68"/>
      <c r="Q73" s="68"/>
      <c r="R73" s="36"/>
    </row>
    <row r="74" spans="7:18" x14ac:dyDescent="0.25">
      <c r="G74" s="34"/>
      <c r="H74" s="68"/>
      <c r="I74" s="69" t="s">
        <v>177</v>
      </c>
      <c r="J74" s="71">
        <v>0.05</v>
      </c>
      <c r="K74" s="68"/>
      <c r="L74" s="68"/>
      <c r="M74" s="68"/>
      <c r="N74" s="68"/>
      <c r="O74" s="68"/>
      <c r="P74" s="68"/>
      <c r="Q74" s="68"/>
      <c r="R74" s="36"/>
    </row>
    <row r="75" spans="7:18" ht="17.25" x14ac:dyDescent="0.25">
      <c r="G75" s="34"/>
      <c r="H75" s="68"/>
      <c r="I75" s="69" t="s">
        <v>178</v>
      </c>
      <c r="J75" s="70">
        <f>_xlfn.CHISQ.INV.RT(J74,J73)</f>
        <v>16.918977604620451</v>
      </c>
      <c r="K75" s="68"/>
      <c r="L75" s="68"/>
      <c r="M75" s="68"/>
      <c r="N75" s="68"/>
      <c r="O75" s="68"/>
      <c r="P75" s="68"/>
      <c r="Q75" s="68"/>
      <c r="R75" s="36"/>
    </row>
    <row r="76" spans="7:18" x14ac:dyDescent="0.25">
      <c r="G76" s="34"/>
      <c r="H76" s="68"/>
      <c r="I76" s="69" t="s">
        <v>92</v>
      </c>
      <c r="J76" s="264">
        <f>1-_xlfn.CHISQ.DIST(M66,9,1)</f>
        <v>0.52598946542718328</v>
      </c>
      <c r="K76" s="68"/>
      <c r="L76" s="68"/>
      <c r="M76" s="68"/>
      <c r="N76" s="68"/>
      <c r="O76" s="68"/>
      <c r="P76" s="68"/>
      <c r="Q76" s="68"/>
      <c r="R76" s="36"/>
    </row>
    <row r="77" spans="7:18" x14ac:dyDescent="0.25">
      <c r="G77" s="34"/>
      <c r="H77" s="68"/>
      <c r="I77" s="69"/>
      <c r="J77" s="69"/>
      <c r="K77" s="68"/>
      <c r="L77" s="68"/>
      <c r="M77" s="68"/>
      <c r="N77" s="68"/>
      <c r="O77" s="68"/>
      <c r="P77" s="68"/>
      <c r="Q77" s="68"/>
      <c r="R77" s="36"/>
    </row>
    <row r="78" spans="7:18" x14ac:dyDescent="0.25">
      <c r="G78" s="34"/>
      <c r="H78" s="68"/>
      <c r="I78" s="68" t="s">
        <v>179</v>
      </c>
      <c r="J78" s="68"/>
      <c r="K78" s="68"/>
      <c r="L78" s="68"/>
      <c r="M78" s="68"/>
      <c r="N78" s="68"/>
      <c r="O78" s="68"/>
      <c r="P78" s="68"/>
      <c r="Q78" s="68"/>
      <c r="R78" s="36"/>
    </row>
    <row r="79" spans="7:18" x14ac:dyDescent="0.25">
      <c r="G79" s="34"/>
      <c r="H79" s="68"/>
      <c r="I79" s="68" t="s">
        <v>180</v>
      </c>
      <c r="J79" s="68"/>
      <c r="K79" s="68"/>
      <c r="L79" s="68"/>
      <c r="M79" s="68"/>
      <c r="N79" s="68"/>
      <c r="O79" s="68"/>
      <c r="P79" s="68"/>
      <c r="Q79" s="68"/>
      <c r="R79" s="36"/>
    </row>
    <row r="80" spans="7:18" ht="15.75" thickBot="1" x14ac:dyDescent="0.3">
      <c r="G80" s="40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37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Analysis results</vt:lpstr>
      <vt:lpstr>Simulation results</vt:lpstr>
      <vt:lpstr>Regression and chi-square</vt:lpstr>
      <vt:lpstr>DataS</vt:lpstr>
      <vt:lpstr>market</vt:lpstr>
      <vt:lpstr>Sim</vt:lpstr>
      <vt:lpstr>simu</vt:lpstr>
    </vt:vector>
  </TitlesOfParts>
  <Company>Bluffton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Nester, Darryl</dc:creator>
  <cp:lastModifiedBy>DELL</cp:lastModifiedBy>
  <dcterms:created xsi:type="dcterms:W3CDTF">2009-12-09T18:32:46Z</dcterms:created>
  <dcterms:modified xsi:type="dcterms:W3CDTF">2022-12-06T17:03:14Z</dcterms:modified>
</cp:coreProperties>
</file>