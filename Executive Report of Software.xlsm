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autoCompressPictures="0"/>
  <mc:AlternateContent xmlns:mc="http://schemas.openxmlformats.org/markup-compatibility/2006">
    <mc:Choice Requires="x15">
      <x15ac:absPath xmlns:x15ac="http://schemas.microsoft.com/office/spreadsheetml/2010/11/ac" url="C:\Users\DELL\Downloads\"/>
    </mc:Choice>
  </mc:AlternateContent>
  <xr:revisionPtr revIDLastSave="0" documentId="8_{C56D0796-2A7F-4F51-AE5D-CEC5997B2A12}" xr6:coauthVersionLast="47" xr6:coauthVersionMax="47" xr10:uidLastSave="{00000000-0000-0000-0000-000000000000}"/>
  <bookViews>
    <workbookView xWindow="-120" yWindow="-120" windowWidth="20730" windowHeight="11040" xr2:uid="{00000000-000D-0000-FFFF-FFFF00000000}"/>
  </bookViews>
  <sheets>
    <sheet name="Sheet1" sheetId="101" r:id="rId1"/>
  </sheets>
  <functionGroups builtInGroupCount="19"/>
  <externalReferences>
    <externalReference r:id="rId2"/>
    <externalReference r:id="rId3"/>
    <externalReference r:id="rId4"/>
    <externalReference r:id="rId5"/>
    <externalReference r:id="rId6"/>
  </externalReferences>
  <definedNames>
    <definedName name="Data">[1]Data!$C$4:$C$19</definedName>
    <definedName name="DataS">#REF!</definedName>
    <definedName name="market">#REF!</definedName>
    <definedName name="Sim">#REF!</definedName>
    <definedName name="simu">#REF!</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G76" i="101" l="1"/>
  <c r="G69" i="101"/>
  <c r="H97" i="101" l="1"/>
  <c r="H98" i="101" s="1"/>
  <c r="H99" i="101" s="1"/>
  <c r="D97" i="101"/>
  <c r="D98" i="101" s="1"/>
  <c r="F93" i="101"/>
  <c r="K44" i="101"/>
  <c r="E43" i="101"/>
  <c r="E42" i="101"/>
  <c r="D99" i="101" l="1"/>
</calcChain>
</file>

<file path=xl/sharedStrings.xml><?xml version="1.0" encoding="utf-8"?>
<sst xmlns="http://schemas.openxmlformats.org/spreadsheetml/2006/main" count="83" uniqueCount="67">
  <si>
    <t>Mean</t>
  </si>
  <si>
    <t>Sigma</t>
  </si>
  <si>
    <r>
      <t>P &lt; X</t>
    </r>
    <r>
      <rPr>
        <vertAlign val="subscript"/>
        <sz val="11"/>
        <color theme="1"/>
        <rFont val="Calibri"/>
        <family val="2"/>
        <scheme val="minor"/>
      </rPr>
      <t>lower</t>
    </r>
  </si>
  <si>
    <r>
      <t>P &gt; X</t>
    </r>
    <r>
      <rPr>
        <vertAlign val="subscript"/>
        <sz val="11"/>
        <color theme="1"/>
        <rFont val="Calibri"/>
        <family val="2"/>
        <scheme val="minor"/>
      </rPr>
      <t>upper</t>
    </r>
  </si>
  <si>
    <t>P between</t>
  </si>
  <si>
    <t>Upper targets</t>
  </si>
  <si>
    <t>Lower targets</t>
  </si>
  <si>
    <t>90% confidence interval</t>
  </si>
  <si>
    <t>95% confidence interval</t>
  </si>
  <si>
    <t>Confidence level</t>
  </si>
  <si>
    <r>
      <t xml:space="preserve">Significance </t>
    </r>
    <r>
      <rPr>
        <sz val="11"/>
        <color theme="1"/>
        <rFont val="Symbol"/>
        <family val="1"/>
        <charset val="2"/>
      </rPr>
      <t>a</t>
    </r>
  </si>
  <si>
    <r>
      <t xml:space="preserve">P Lower Limit = </t>
    </r>
    <r>
      <rPr>
        <sz val="11"/>
        <color theme="1"/>
        <rFont val="Symbol"/>
        <family val="1"/>
        <charset val="2"/>
      </rPr>
      <t>a</t>
    </r>
    <r>
      <rPr>
        <sz val="11"/>
        <color theme="1"/>
        <rFont val="Calibri"/>
        <family val="2"/>
      </rPr>
      <t>/2</t>
    </r>
  </si>
  <si>
    <r>
      <t xml:space="preserve">P Upper Limit = 1 - </t>
    </r>
    <r>
      <rPr>
        <sz val="11"/>
        <color theme="1"/>
        <rFont val="Symbol"/>
        <family val="1"/>
        <charset val="2"/>
      </rPr>
      <t>a</t>
    </r>
    <r>
      <rPr>
        <sz val="11"/>
        <color theme="1"/>
        <rFont val="Calibri"/>
        <family val="2"/>
      </rPr>
      <t>/2</t>
    </r>
  </si>
  <si>
    <r>
      <t>Z</t>
    </r>
    <r>
      <rPr>
        <vertAlign val="subscript"/>
        <sz val="11"/>
        <color theme="1"/>
        <rFont val="Calibri"/>
        <family val="2"/>
        <scheme val="minor"/>
      </rPr>
      <t>LL</t>
    </r>
  </si>
  <si>
    <r>
      <t>Z</t>
    </r>
    <r>
      <rPr>
        <vertAlign val="subscript"/>
        <sz val="11"/>
        <color theme="1"/>
        <rFont val="Calibri"/>
        <family val="2"/>
        <scheme val="minor"/>
      </rPr>
      <t>UL</t>
    </r>
  </si>
  <si>
    <t xml:space="preserve">Lower Limit </t>
  </si>
  <si>
    <t xml:space="preserve">Upper Limit </t>
  </si>
  <si>
    <t>Z</t>
  </si>
  <si>
    <t>Proportion &gt; 320</t>
  </si>
  <si>
    <t>From correlation, we can prove that the two distributions are positively related</t>
  </si>
  <si>
    <t xml:space="preserve">From covariance, we can see that both the distributions are toward the positive side </t>
  </si>
  <si>
    <t>Count</t>
  </si>
  <si>
    <t xml:space="preserve">df </t>
  </si>
  <si>
    <t>Y= 688817.75 + 2293.17*Software Developers Employed</t>
  </si>
  <si>
    <t>Software Developers Employed in 2022</t>
  </si>
  <si>
    <t>y</t>
  </si>
  <si>
    <t>T Distribution method</t>
  </si>
  <si>
    <t>Target (X)</t>
  </si>
  <si>
    <t>Standard deviation</t>
  </si>
  <si>
    <t>Counting method</t>
  </si>
  <si>
    <t>Total count of data</t>
  </si>
  <si>
    <t>which is not the case in the other distributions of the database which gives the details in terms of percentages and per 100 people</t>
  </si>
  <si>
    <t>Proportion &gt; 320(counting)</t>
  </si>
  <si>
    <t>Count of data &gt; 320</t>
  </si>
  <si>
    <t>The results of achieving the target of above 320 billion dollars  is 48% by T distribution and 67% by counting</t>
  </si>
  <si>
    <t>Identifying the confidence intervals</t>
  </si>
  <si>
    <t>and conclude that the average market share value  will be lesser than or equal to 300 billion</t>
  </si>
  <si>
    <t xml:space="preserve">Using regression analysis we can get an value of the market share  for the years 2022  </t>
  </si>
  <si>
    <t xml:space="preserve">Thus in the year 2022, since there is going to be a attrition it would not be making much profit in the subsequent years </t>
  </si>
  <si>
    <t>in billions</t>
  </si>
  <si>
    <t>The reason they are slightly on the higher side is due to the remote nature of work that had been developed during covid</t>
  </si>
  <si>
    <t>The distribution that defines the database will be the market share profits over the years  because it gives us the details of revenue generated each year</t>
  </si>
  <si>
    <t>Also, the other distributions are average salary and a number of people employed gives an idea of origins of market share profit value which largely could be the output generated  . Hence</t>
  </si>
  <si>
    <t>Hence I have done an analysis of market share profit value  largely .</t>
  </si>
  <si>
    <t>90% of the chance market share will be between 96 and 531 billion</t>
  </si>
  <si>
    <t>95% chance marketshare will be 49.85 to 577.65  billion</t>
  </si>
  <si>
    <t xml:space="preserve">Executive report </t>
  </si>
  <si>
    <t>1)</t>
  </si>
  <si>
    <t xml:space="preserve">The reason for the sudden increase in salaries, market share profit is the growing demand for technology and also the emergence of AI and also the nature of covid which has resulted in remote jobs has largely contributed towards the salary increase and profit </t>
  </si>
  <si>
    <t>2)</t>
  </si>
  <si>
    <t>Here at 220 and 360,370,huge profits will be generated and anything above 40% between the analysis will be good</t>
  </si>
  <si>
    <t>3)</t>
  </si>
  <si>
    <t>4)</t>
  </si>
  <si>
    <t>5)</t>
  </si>
  <si>
    <t>Once again this is on the higher side due to the sudden surge of tech companies,but given recent attrition this can certainly sink</t>
  </si>
  <si>
    <t>6)</t>
  </si>
  <si>
    <t>7)</t>
  </si>
  <si>
    <t>Since the p-value is larger than alpha and Z is less than the critical value, we do not reject the null hypothesis H0 at 5% level</t>
  </si>
  <si>
    <t xml:space="preserve">Hypothesis verdict </t>
  </si>
  <si>
    <t>8)</t>
  </si>
  <si>
    <t xml:space="preserve">Doing counting vs t-test comparison </t>
  </si>
  <si>
    <t>9)</t>
  </si>
  <si>
    <t>Simulation analysis</t>
  </si>
  <si>
    <t>This is a logarthmic distribution as a continuous probability distribution of a random variable in which logarithm is normally distributed</t>
  </si>
  <si>
    <t>Prediction using regression analysis</t>
  </si>
  <si>
    <t>(Assuming as 150000)</t>
  </si>
  <si>
    <t>Variation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</si>
</sst>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P between&quot;"/>
    <numFmt numFmtId="165" formatCode="0.0%"/>
    <numFmt numFmtId="166" formatCode="0.0"/>
  </numFmts>
  <fonts count="15" x14ac:knownFonts="1">
    <font>
      <sz val="11"/>
      <color theme="1"/>
      <name val="Calibri"/>
      <family val="2"/>
      <scheme val="minor"/>
    </font>
    <font>
      <u/>
      <sz val="11"/>
      <color theme="10"/>
      <name val="Calibri"/>
      <family val="2"/>
      <scheme val="minor"/>
    </font>
    <font>
      <u/>
      <sz val="11"/>
      <color theme="11"/>
      <name val="Calibri"/>
      <family val="2"/>
      <scheme val="minor"/>
    </font>
    <font>
      <sz val="11"/>
      <color theme="1"/>
      <name val="Calibri"/>
      <family val="2"/>
      <scheme val="minor"/>
    </font>
    <font>
      <b/>
      <sz val="11"/>
      <color theme="1"/>
      <name val="Calibri"/>
      <family val="2"/>
      <scheme val="minor"/>
    </font>
    <font>
      <sz val="10"/>
      <name val="Arial"/>
      <family val="2"/>
    </font>
    <font>
      <i/>
      <sz val="11"/>
      <color theme="1"/>
      <name val="Calibri"/>
      <family val="2"/>
      <scheme val="minor"/>
    </font>
    <font>
      <vertAlign val="subscript"/>
      <sz val="11"/>
      <color theme="1"/>
      <name val="Calibri"/>
      <family val="2"/>
      <scheme val="minor"/>
    </font>
    <font>
      <sz val="11"/>
      <color theme="1"/>
      <name val="Symbol"/>
      <family val="1"/>
      <charset val="2"/>
    </font>
    <font>
      <sz val="11"/>
      <color theme="1"/>
      <name val="Calibri"/>
      <family val="2"/>
    </font>
    <font>
      <b/>
      <u/>
      <sz val="11"/>
      <color theme="1"/>
      <name val="Calibri"/>
      <family val="2"/>
      <scheme val="minor"/>
    </font>
    <font>
      <b/>
      <i/>
      <sz val="11"/>
      <color theme="5" tint="-0.249977111117893"/>
      <name val="Calibri"/>
      <family val="2"/>
      <scheme val="minor"/>
    </font>
    <font>
      <b/>
      <sz val="11"/>
      <name val="Calibri"/>
      <family val="2"/>
      <scheme val="minor"/>
    </font>
    <font>
      <sz val="11"/>
      <name val="Calibri"/>
      <family val="2"/>
      <scheme val="minor"/>
    </font>
    <font>
      <b/>
      <u/>
      <sz val="20"/>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6"/>
        <bgColor indexed="64"/>
      </patternFill>
    </fill>
    <fill>
      <patternFill patternType="solid">
        <fgColor rgb="FF92D050"/>
        <bgColor indexed="64"/>
      </patternFill>
    </fill>
    <fill>
      <patternFill patternType="solid">
        <fgColor rgb="FFFF0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indexed="64"/>
      </right>
      <top/>
      <bottom style="medium">
        <color indexed="64"/>
      </bottom>
      <diagonal/>
    </border>
    <border>
      <left/>
      <right style="thin">
        <color auto="1"/>
      </right>
      <top style="thin">
        <color auto="1"/>
      </top>
      <bottom style="thin">
        <color indexed="64"/>
      </bottom>
      <diagonal/>
    </border>
    <border>
      <left style="medium">
        <color auto="1"/>
      </left>
      <right style="thin">
        <color indexed="64"/>
      </right>
      <top/>
      <bottom/>
      <diagonal/>
    </border>
    <border>
      <left style="medium">
        <color auto="1"/>
      </left>
      <right style="thin">
        <color indexed="64"/>
      </right>
      <top/>
      <bottom style="thin">
        <color indexed="64"/>
      </bottom>
      <diagonal/>
    </border>
  </borders>
  <cellStyleXfs count="27">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9" fontId="3" fillId="0" borderId="0" applyFont="0" applyFill="0" applyBorder="0" applyAlignment="0" applyProtection="0"/>
    <xf numFmtId="0" fontId="5" fillId="0" borderId="0"/>
  </cellStyleXfs>
  <cellXfs count="48">
    <xf numFmtId="0" fontId="0" fillId="0" borderId="0" xfId="0"/>
    <xf numFmtId="0" fontId="0" fillId="0" borderId="3" xfId="0" applyBorder="1" applyAlignment="1">
      <alignment horizontal="center"/>
    </xf>
    <xf numFmtId="9" fontId="0" fillId="2" borderId="4" xfId="25" applyFont="1" applyFill="1" applyBorder="1" applyAlignment="1">
      <alignment horizontal="center"/>
    </xf>
    <xf numFmtId="0" fontId="0" fillId="0" borderId="5" xfId="0" applyBorder="1" applyAlignment="1">
      <alignment horizontal="center"/>
    </xf>
    <xf numFmtId="9" fontId="0" fillId="2" borderId="6" xfId="25" applyFont="1" applyFill="1" applyBorder="1" applyAlignment="1">
      <alignment horizontal="center"/>
    </xf>
    <xf numFmtId="0" fontId="0" fillId="0" borderId="0" xfId="0" applyAlignment="1">
      <alignment horizontal="center"/>
    </xf>
    <xf numFmtId="9" fontId="0" fillId="0" borderId="0" xfId="25" applyFont="1" applyFill="1" applyBorder="1" applyAlignment="1">
      <alignment horizontal="center"/>
    </xf>
    <xf numFmtId="0" fontId="0" fillId="0" borderId="1" xfId="0" applyBorder="1" applyAlignment="1">
      <alignment horizontal="center"/>
    </xf>
    <xf numFmtId="0" fontId="10" fillId="0" borderId="0" xfId="0" applyFont="1"/>
    <xf numFmtId="2" fontId="0" fillId="0" borderId="0" xfId="0" applyNumberFormat="1" applyAlignment="1">
      <alignment horizontal="center"/>
    </xf>
    <xf numFmtId="0" fontId="11" fillId="0" borderId="0" xfId="0" applyFont="1"/>
    <xf numFmtId="0" fontId="12" fillId="0" borderId="0" xfId="0" applyFont="1"/>
    <xf numFmtId="0" fontId="0" fillId="0" borderId="0" xfId="0" applyAlignment="1">
      <alignment horizontal="left"/>
    </xf>
    <xf numFmtId="2" fontId="0" fillId="0" borderId="0" xfId="0" applyNumberFormat="1" applyAlignment="1">
      <alignment horizontal="left"/>
    </xf>
    <xf numFmtId="9" fontId="0" fillId="0" borderId="1" xfId="25" applyFont="1" applyFill="1" applyBorder="1" applyAlignment="1">
      <alignment horizontal="center"/>
    </xf>
    <xf numFmtId="0" fontId="0" fillId="0" borderId="9" xfId="0" applyBorder="1" applyAlignment="1">
      <alignment horizontal="center"/>
    </xf>
    <xf numFmtId="9" fontId="0" fillId="0" borderId="10" xfId="0" applyNumberFormat="1" applyBorder="1" applyAlignment="1">
      <alignment horizontal="center"/>
    </xf>
    <xf numFmtId="9" fontId="0" fillId="0" borderId="10" xfId="25" applyFont="1" applyBorder="1" applyAlignment="1">
      <alignment horizontal="center"/>
    </xf>
    <xf numFmtId="2" fontId="0" fillId="0" borderId="10" xfId="0" applyNumberFormat="1" applyBorder="1" applyAlignment="1">
      <alignment horizontal="center"/>
    </xf>
    <xf numFmtId="2" fontId="0" fillId="2" borderId="10" xfId="0" applyNumberFormat="1" applyFill="1" applyBorder="1" applyAlignment="1">
      <alignment horizontal="center"/>
    </xf>
    <xf numFmtId="0" fontId="0" fillId="0" borderId="11" xfId="0" applyBorder="1" applyAlignment="1">
      <alignment horizontal="center"/>
    </xf>
    <xf numFmtId="2" fontId="0" fillId="2" borderId="12" xfId="0" applyNumberFormat="1" applyFill="1" applyBorder="1" applyAlignment="1">
      <alignment horizontal="center"/>
    </xf>
    <xf numFmtId="165" fontId="0" fillId="0" borderId="10" xfId="25" applyNumberFormat="1" applyFont="1" applyBorder="1" applyAlignment="1">
      <alignment horizontal="center"/>
    </xf>
    <xf numFmtId="0" fontId="0" fillId="0" borderId="10" xfId="0" applyBorder="1" applyAlignment="1">
      <alignment horizontal="center"/>
    </xf>
    <xf numFmtId="0" fontId="0" fillId="2" borderId="14" xfId="0" applyFill="1" applyBorder="1" applyAlignment="1">
      <alignment horizontal="center"/>
    </xf>
    <xf numFmtId="0" fontId="0" fillId="2" borderId="15" xfId="0" applyFill="1" applyBorder="1" applyAlignment="1">
      <alignment horizontal="center"/>
    </xf>
    <xf numFmtId="164" fontId="0" fillId="0" borderId="1" xfId="0" applyNumberFormat="1" applyBorder="1" applyAlignment="1">
      <alignment horizontal="center"/>
    </xf>
    <xf numFmtId="9" fontId="0" fillId="4" borderId="1" xfId="25" applyFont="1" applyFill="1" applyBorder="1" applyAlignment="1">
      <alignment horizontal="center"/>
    </xf>
    <xf numFmtId="0" fontId="13" fillId="0" borderId="0" xfId="0" applyFont="1"/>
    <xf numFmtId="0" fontId="12" fillId="0" borderId="0" xfId="0" applyFont="1" applyAlignment="1">
      <alignment horizontal="center"/>
    </xf>
    <xf numFmtId="0" fontId="13" fillId="0" borderId="2" xfId="0" applyFont="1" applyBorder="1"/>
    <xf numFmtId="0" fontId="4" fillId="0" borderId="0" xfId="0" applyFont="1"/>
    <xf numFmtId="9" fontId="0" fillId="5" borderId="1" xfId="25" applyFont="1" applyFill="1"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0" fontId="0" fillId="0" borderId="1" xfId="0"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0" borderId="13" xfId="0" applyBorder="1" applyAlignment="1">
      <alignment horizontal="center"/>
    </xf>
    <xf numFmtId="0" fontId="0" fillId="0" borderId="0" xfId="0" applyBorder="1"/>
    <xf numFmtId="0" fontId="0" fillId="0" borderId="0" xfId="0" applyBorder="1" applyAlignment="1">
      <alignment horizontal="center"/>
    </xf>
    <xf numFmtId="0" fontId="13" fillId="0" borderId="0" xfId="0" applyFont="1" applyBorder="1"/>
    <xf numFmtId="0" fontId="14" fillId="0" borderId="0" xfId="0" applyFont="1"/>
    <xf numFmtId="0" fontId="6" fillId="0" borderId="0" xfId="0" applyFont="1" applyAlignment="1">
      <alignment vertical="center"/>
    </xf>
    <xf numFmtId="0" fontId="6" fillId="0" borderId="0" xfId="0" applyFont="1"/>
    <xf numFmtId="0" fontId="0" fillId="0" borderId="0" xfId="0" applyBorder="1" applyAlignment="1">
      <alignment horizontal="center"/>
    </xf>
  </cellXfs>
  <cellStyles count="27">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Normal" xfId="0" builtinId="0"/>
    <cellStyle name="Normal 2" xfId="26" xr:uid="{345D607F-7619-4F3F-B89C-15EBA88E79A9}"/>
    <cellStyle name="Percent" xfId="25"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externalLink" Target="externalLinks/externalLink2.xml"/><Relationship Id="rId7"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externalLink" Target="externalLinks/externalLink5.xml"/><Relationship Id="rId11" Type="http://schemas.microsoft.com/office/2006/relationships/vbaProject" Target="vbaProject.bin"/><Relationship Id="rId5" Type="http://schemas.openxmlformats.org/officeDocument/2006/relationships/externalLink" Target="externalLinks/externalLink4.xml"/><Relationship Id="rId10" Type="http://schemas.openxmlformats.org/officeDocument/2006/relationships/calcChain" Target="calcChain.xml"/><Relationship Id="rId4" Type="http://schemas.openxmlformats.org/officeDocument/2006/relationships/externalLink" Target="externalLinks/externalLink3.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800" b="0" i="0" baseline="0">
                <a:effectLst/>
              </a:rPr>
              <a:t>Variation analysis of the distribution  in relation to upper and lower targets</a:t>
            </a:r>
            <a:endParaRPr lang="en-UG">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layout>
        <c:manualLayout>
          <c:xMode val="edge"/>
          <c:yMode val="edge"/>
          <c:x val="0.15481406229687042"/>
          <c:y val="4.5865798199315987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G"/>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90E-4071-B190-10C4372390B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90E-4071-B190-10C4372390B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90E-4071-B190-10C4372390B8}"/>
              </c:ext>
            </c:extLst>
          </c:dPt>
          <c:dLbls>
            <c:dLbl>
              <c:idx val="0"/>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90E-4071-B190-10C4372390B8}"/>
                </c:ext>
              </c:extLst>
            </c:dLbl>
            <c:dLbl>
              <c:idx val="1"/>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90E-4071-B190-10C4372390B8}"/>
                </c:ext>
              </c:extLst>
            </c:dLbl>
            <c:dLbl>
              <c:idx val="2"/>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90E-4071-B190-10C4372390B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[2]Sheet1!$J$73:$J$75</c:f>
              <c:strCache>
                <c:ptCount val="3"/>
                <c:pt idx="0">
                  <c:v>P &lt; Xlower</c:v>
                </c:pt>
                <c:pt idx="1">
                  <c:v>P &gt; Xupper</c:v>
                </c:pt>
                <c:pt idx="2">
                  <c:v>P between</c:v>
                </c:pt>
              </c:strCache>
            </c:strRef>
          </c:cat>
          <c:val>
            <c:numRef>
              <c:f>[2]Sheet1!$K$73:$K$75</c:f>
              <c:numCache>
                <c:formatCode>General</c:formatCode>
                <c:ptCount val="3"/>
                <c:pt idx="0">
                  <c:v>0.27771756256104901</c:v>
                </c:pt>
                <c:pt idx="1">
                  <c:v>0.41689623382613172</c:v>
                </c:pt>
                <c:pt idx="2">
                  <c:v>0.30538620361281926</c:v>
                </c:pt>
              </c:numCache>
            </c:numRef>
          </c:val>
          <c:extLst>
            <c:ext xmlns:c16="http://schemas.microsoft.com/office/drawing/2014/chart" uri="{C3380CC4-5D6E-409C-BE32-E72D297353CC}">
              <c16:uniqueId val="{00000006-090E-4071-B190-10C4372390B8}"/>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Frequency of software</a:t>
            </a:r>
            <a:r>
              <a:rPr lang="en-US" baseline="0"/>
              <a:t> developer salaries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G"/>
        </a:p>
      </c:txPr>
    </c:title>
    <c:autoTitleDeleted val="0"/>
    <c:plotArea>
      <c:layout/>
      <c:barChart>
        <c:barDir val="bar"/>
        <c:grouping val="clustered"/>
        <c:varyColors val="0"/>
        <c:ser>
          <c:idx val="0"/>
          <c:order val="0"/>
          <c:spPr>
            <a:solidFill>
              <a:schemeClr val="accent1"/>
            </a:solidFill>
            <a:ln>
              <a:noFill/>
            </a:ln>
            <a:effectLst/>
          </c:spPr>
          <c:invertIfNegative val="0"/>
          <c:cat>
            <c:strRef>
              <c:f>'[4]Analysis results'!$D$39:$D$52</c:f>
              <c:strCache>
                <c:ptCount val="14"/>
                <c:pt idx="0">
                  <c:v>61300</c:v>
                </c:pt>
                <c:pt idx="1">
                  <c:v>62086</c:v>
                </c:pt>
                <c:pt idx="2">
                  <c:v>62872</c:v>
                </c:pt>
                <c:pt idx="3">
                  <c:v>63658</c:v>
                </c:pt>
                <c:pt idx="4">
                  <c:v>64444</c:v>
                </c:pt>
                <c:pt idx="5">
                  <c:v>65230</c:v>
                </c:pt>
                <c:pt idx="6">
                  <c:v>66016</c:v>
                </c:pt>
                <c:pt idx="7">
                  <c:v>66802</c:v>
                </c:pt>
                <c:pt idx="8">
                  <c:v>67588</c:v>
                </c:pt>
                <c:pt idx="9">
                  <c:v>68374</c:v>
                </c:pt>
                <c:pt idx="10">
                  <c:v>69160</c:v>
                </c:pt>
                <c:pt idx="11">
                  <c:v>69946</c:v>
                </c:pt>
                <c:pt idx="12">
                  <c:v>70732</c:v>
                </c:pt>
                <c:pt idx="13">
                  <c:v>More</c:v>
                </c:pt>
              </c:strCache>
            </c:strRef>
          </c:cat>
          <c:val>
            <c:numRef>
              <c:f>'[4]Analysis results'!$E$39:$E$52</c:f>
              <c:numCache>
                <c:formatCode>General</c:formatCode>
                <c:ptCount val="14"/>
                <c:pt idx="0">
                  <c:v>0</c:v>
                </c:pt>
                <c:pt idx="1">
                  <c:v>15</c:v>
                </c:pt>
                <c:pt idx="2">
                  <c:v>0</c:v>
                </c:pt>
                <c:pt idx="3">
                  <c:v>1</c:v>
                </c:pt>
                <c:pt idx="4">
                  <c:v>0</c:v>
                </c:pt>
                <c:pt idx="5">
                  <c:v>1</c:v>
                </c:pt>
                <c:pt idx="6">
                  <c:v>0</c:v>
                </c:pt>
                <c:pt idx="7">
                  <c:v>0</c:v>
                </c:pt>
                <c:pt idx="8">
                  <c:v>0</c:v>
                </c:pt>
                <c:pt idx="9">
                  <c:v>0</c:v>
                </c:pt>
                <c:pt idx="10">
                  <c:v>0</c:v>
                </c:pt>
                <c:pt idx="11">
                  <c:v>0</c:v>
                </c:pt>
                <c:pt idx="12">
                  <c:v>1</c:v>
                </c:pt>
                <c:pt idx="13">
                  <c:v>0</c:v>
                </c:pt>
              </c:numCache>
            </c:numRef>
          </c:val>
          <c:extLst>
            <c:ext xmlns:c16="http://schemas.microsoft.com/office/drawing/2014/chart" uri="{C3380CC4-5D6E-409C-BE32-E72D297353CC}">
              <c16:uniqueId val="{00000000-DFF2-453B-87B9-DDF4F4591A09}"/>
            </c:ext>
          </c:extLst>
        </c:ser>
        <c:dLbls>
          <c:showLegendKey val="0"/>
          <c:showVal val="0"/>
          <c:showCatName val="0"/>
          <c:showSerName val="0"/>
          <c:showPercent val="0"/>
          <c:showBubbleSize val="0"/>
        </c:dLbls>
        <c:gapWidth val="182"/>
        <c:axId val="1465058448"/>
        <c:axId val="1465059696"/>
      </c:barChart>
      <c:catAx>
        <c:axId val="146505844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Salariies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G"/>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1465059696"/>
        <c:crosses val="autoZero"/>
        <c:auto val="1"/>
        <c:lblAlgn val="ctr"/>
        <c:lblOffset val="100"/>
        <c:noMultiLvlLbl val="0"/>
      </c:catAx>
      <c:valAx>
        <c:axId val="146505969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Frequency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14650584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G"/>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Frequency of  Marketshare</a:t>
            </a:r>
            <a:r>
              <a:rPr lang="en-US" baseline="0"/>
              <a:t> Profit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G"/>
        </a:p>
      </c:txPr>
    </c:title>
    <c:autoTitleDeleted val="0"/>
    <c:plotArea>
      <c:layout/>
      <c:barChart>
        <c:barDir val="col"/>
        <c:grouping val="clustered"/>
        <c:varyColors val="0"/>
        <c:ser>
          <c:idx val="0"/>
          <c:order val="0"/>
          <c:spPr>
            <a:solidFill>
              <a:schemeClr val="accent1"/>
            </a:solidFill>
            <a:ln>
              <a:noFill/>
            </a:ln>
            <a:effectLst/>
          </c:spPr>
          <c:invertIfNegative val="0"/>
          <c:cat>
            <c:strRef>
              <c:f>'[4]Analysis results'!$H$38:$H$61</c:f>
              <c:strCache>
                <c:ptCount val="24"/>
                <c:pt idx="0">
                  <c:v>180</c:v>
                </c:pt>
                <c:pt idx="1">
                  <c:v>200</c:v>
                </c:pt>
                <c:pt idx="2">
                  <c:v>220</c:v>
                </c:pt>
                <c:pt idx="3">
                  <c:v>240</c:v>
                </c:pt>
                <c:pt idx="4">
                  <c:v>260</c:v>
                </c:pt>
                <c:pt idx="5">
                  <c:v>280</c:v>
                </c:pt>
                <c:pt idx="6">
                  <c:v>300</c:v>
                </c:pt>
                <c:pt idx="7">
                  <c:v>320</c:v>
                </c:pt>
                <c:pt idx="8">
                  <c:v>340</c:v>
                </c:pt>
                <c:pt idx="9">
                  <c:v>360</c:v>
                </c:pt>
                <c:pt idx="10">
                  <c:v>380</c:v>
                </c:pt>
                <c:pt idx="11">
                  <c:v>400</c:v>
                </c:pt>
                <c:pt idx="12">
                  <c:v>420</c:v>
                </c:pt>
                <c:pt idx="13">
                  <c:v>440</c:v>
                </c:pt>
                <c:pt idx="14">
                  <c:v>460</c:v>
                </c:pt>
                <c:pt idx="15">
                  <c:v>480</c:v>
                </c:pt>
                <c:pt idx="16">
                  <c:v>500</c:v>
                </c:pt>
                <c:pt idx="17">
                  <c:v>520</c:v>
                </c:pt>
                <c:pt idx="18">
                  <c:v>540</c:v>
                </c:pt>
                <c:pt idx="19">
                  <c:v>560</c:v>
                </c:pt>
                <c:pt idx="20">
                  <c:v>580</c:v>
                </c:pt>
                <c:pt idx="21">
                  <c:v>600</c:v>
                </c:pt>
                <c:pt idx="22">
                  <c:v>620</c:v>
                </c:pt>
                <c:pt idx="23">
                  <c:v>More</c:v>
                </c:pt>
              </c:strCache>
            </c:strRef>
          </c:cat>
          <c:val>
            <c:numRef>
              <c:f>'[4]Analysis results'!$I$38:$I$61</c:f>
              <c:numCache>
                <c:formatCode>General</c:formatCode>
                <c:ptCount val="24"/>
                <c:pt idx="0">
                  <c:v>0</c:v>
                </c:pt>
                <c:pt idx="1">
                  <c:v>4</c:v>
                </c:pt>
                <c:pt idx="2">
                  <c:v>0</c:v>
                </c:pt>
                <c:pt idx="3">
                  <c:v>2</c:v>
                </c:pt>
                <c:pt idx="4">
                  <c:v>1</c:v>
                </c:pt>
                <c:pt idx="5">
                  <c:v>1</c:v>
                </c:pt>
                <c:pt idx="6">
                  <c:v>2</c:v>
                </c:pt>
                <c:pt idx="7">
                  <c:v>2</c:v>
                </c:pt>
                <c:pt idx="8">
                  <c:v>1</c:v>
                </c:pt>
                <c:pt idx="9">
                  <c:v>0</c:v>
                </c:pt>
                <c:pt idx="10">
                  <c:v>1</c:v>
                </c:pt>
                <c:pt idx="11">
                  <c:v>0</c:v>
                </c:pt>
                <c:pt idx="12">
                  <c:v>1</c:v>
                </c:pt>
                <c:pt idx="13">
                  <c:v>0</c:v>
                </c:pt>
                <c:pt idx="14">
                  <c:v>0</c:v>
                </c:pt>
                <c:pt idx="15">
                  <c:v>1</c:v>
                </c:pt>
                <c:pt idx="16">
                  <c:v>0</c:v>
                </c:pt>
                <c:pt idx="17">
                  <c:v>0</c:v>
                </c:pt>
                <c:pt idx="18">
                  <c:v>1</c:v>
                </c:pt>
                <c:pt idx="19">
                  <c:v>0</c:v>
                </c:pt>
                <c:pt idx="20">
                  <c:v>0</c:v>
                </c:pt>
                <c:pt idx="21">
                  <c:v>0</c:v>
                </c:pt>
                <c:pt idx="22">
                  <c:v>1</c:v>
                </c:pt>
                <c:pt idx="23">
                  <c:v>0</c:v>
                </c:pt>
              </c:numCache>
            </c:numRef>
          </c:val>
          <c:extLst>
            <c:ext xmlns:c16="http://schemas.microsoft.com/office/drawing/2014/chart" uri="{C3380CC4-5D6E-409C-BE32-E72D297353CC}">
              <c16:uniqueId val="{00000000-AFF5-41C2-AACF-396F4AC4A82A}"/>
            </c:ext>
          </c:extLst>
        </c:ser>
        <c:dLbls>
          <c:showLegendKey val="0"/>
          <c:showVal val="0"/>
          <c:showCatName val="0"/>
          <c:showSerName val="0"/>
          <c:showPercent val="0"/>
          <c:showBubbleSize val="0"/>
        </c:dLbls>
        <c:gapWidth val="219"/>
        <c:overlap val="-27"/>
        <c:axId val="1391185232"/>
        <c:axId val="1391189392"/>
      </c:barChart>
      <c:catAx>
        <c:axId val="13911852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Marketshare</a:t>
                </a:r>
                <a:r>
                  <a:rPr lang="en-US" baseline="0"/>
                  <a:t> profit value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G"/>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1391189392"/>
        <c:crosses val="autoZero"/>
        <c:auto val="1"/>
        <c:lblAlgn val="ctr"/>
        <c:lblOffset val="100"/>
        <c:noMultiLvlLbl val="0"/>
      </c:catAx>
      <c:valAx>
        <c:axId val="13911893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Frequency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1391185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G"/>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Growth</a:t>
            </a:r>
            <a:r>
              <a:rPr lang="en-US" baseline="0"/>
              <a:t> of software developers employers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G"/>
        </a:p>
      </c:txPr>
    </c:title>
    <c:autoTitleDeleted val="0"/>
    <c:plotArea>
      <c:layout/>
      <c:barChart>
        <c:barDir val="col"/>
        <c:grouping val="clustered"/>
        <c:varyColors val="0"/>
        <c:ser>
          <c:idx val="0"/>
          <c:order val="0"/>
          <c:tx>
            <c:strRef>
              <c:f>'[4]Analysis results'!$B$4</c:f>
              <c:strCache>
                <c:ptCount val="1"/>
                <c:pt idx="0">
                  <c:v>year</c:v>
                </c:pt>
              </c:strCache>
            </c:strRef>
          </c:tx>
          <c:spPr>
            <a:solidFill>
              <a:schemeClr val="accent1"/>
            </a:solidFill>
            <a:ln>
              <a:noFill/>
            </a:ln>
            <a:effectLst/>
          </c:spPr>
          <c:invertIfNegative val="0"/>
          <c:cat>
            <c:numRef>
              <c:extLst>
                <c:ext xmlns:c15="http://schemas.microsoft.com/office/drawing/2012/chart" uri="{02D57815-91ED-43cb-92C2-25804820EDAC}">
                  <c15:fullRef>
                    <c15:sqref>'[4]Analysis results'!$B$6:$B$23</c15:sqref>
                  </c15:fullRef>
                </c:ext>
              </c:extLst>
              <c:f>'[4]Analysis results'!$B$7:$B$23</c:f>
              <c:numCache>
                <c:formatCode>General</c:formatCode>
                <c:ptCount val="17"/>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numCache>
            </c:numRef>
          </c:cat>
          <c:val>
            <c:numRef>
              <c:extLst>
                <c:ext xmlns:c15="http://schemas.microsoft.com/office/drawing/2012/chart" uri="{02D57815-91ED-43cb-92C2-25804820EDAC}">
                  <c15:fullRef>
                    <c15:sqref>'[4]Analysis results'!$B$5:$B$23</c15:sqref>
                  </c15:fullRef>
                </c:ext>
              </c:extLst>
              <c:f>'[4]Analysis results'!$B$6:$B$23</c:f>
              <c:numCache>
                <c:formatCode>General</c:formatCode>
                <c:ptCount val="18"/>
                <c:pt idx="0">
                  <c:v>2004</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c:v>
                </c:pt>
                <c:pt idx="15">
                  <c:v>2019</c:v>
                </c:pt>
                <c:pt idx="16">
                  <c:v>2020</c:v>
                </c:pt>
                <c:pt idx="17">
                  <c:v>2021</c:v>
                </c:pt>
              </c:numCache>
            </c:numRef>
          </c:val>
          <c:extLst>
            <c:ext xmlns:c16="http://schemas.microsoft.com/office/drawing/2014/chart" uri="{C3380CC4-5D6E-409C-BE32-E72D297353CC}">
              <c16:uniqueId val="{00000000-12E5-4A2B-A7E1-801A9DCEFEE2}"/>
            </c:ext>
          </c:extLst>
        </c:ser>
        <c:ser>
          <c:idx val="3"/>
          <c:order val="3"/>
          <c:tx>
            <c:strRef>
              <c:f>'[4]Analysis results'!$E$4</c:f>
              <c:strCache>
                <c:ptCount val="1"/>
                <c:pt idx="0">
                  <c:v>Software developers employed</c:v>
                </c:pt>
              </c:strCache>
            </c:strRef>
          </c:tx>
          <c:spPr>
            <a:solidFill>
              <a:schemeClr val="accent4"/>
            </a:solidFill>
            <a:ln>
              <a:noFill/>
            </a:ln>
            <a:effectLst/>
          </c:spPr>
          <c:invertIfNegative val="0"/>
          <c:cat>
            <c:numRef>
              <c:extLst>
                <c:ext xmlns:c15="http://schemas.microsoft.com/office/drawing/2012/chart" uri="{02D57815-91ED-43cb-92C2-25804820EDAC}">
                  <c15:fullRef>
                    <c15:sqref>'[4]Analysis results'!$B$6:$B$23</c15:sqref>
                  </c15:fullRef>
                </c:ext>
              </c:extLst>
              <c:f>'[4]Analysis results'!$B$7:$B$23</c:f>
              <c:numCache>
                <c:formatCode>General</c:formatCode>
                <c:ptCount val="17"/>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numCache>
            </c:numRef>
          </c:cat>
          <c:val>
            <c:numRef>
              <c:extLst>
                <c:ext xmlns:c15="http://schemas.microsoft.com/office/drawing/2012/chart" uri="{02D57815-91ED-43cb-92C2-25804820EDAC}">
                  <c15:fullRef>
                    <c15:sqref>'[4]Analysis results'!$E$5:$E$23</c15:sqref>
                  </c15:fullRef>
                </c:ext>
              </c:extLst>
              <c:f>'[4]Analysis results'!$E$6:$E$23</c:f>
              <c:numCache>
                <c:formatCode>General</c:formatCode>
                <c:ptCount val="18"/>
                <c:pt idx="0">
                  <c:v>1008460</c:v>
                </c:pt>
                <c:pt idx="1">
                  <c:v>1012140</c:v>
                </c:pt>
                <c:pt idx="2">
                  <c:v>1056452</c:v>
                </c:pt>
                <c:pt idx="3">
                  <c:v>1096450</c:v>
                </c:pt>
                <c:pt idx="4">
                  <c:v>1120460</c:v>
                </c:pt>
                <c:pt idx="5">
                  <c:v>1180450</c:v>
                </c:pt>
                <c:pt idx="6">
                  <c:v>1210560</c:v>
                </c:pt>
                <c:pt idx="7">
                  <c:v>1265450</c:v>
                </c:pt>
                <c:pt idx="8">
                  <c:v>1397780</c:v>
                </c:pt>
                <c:pt idx="9">
                  <c:v>1410000</c:v>
                </c:pt>
                <c:pt idx="10">
                  <c:v>1492040</c:v>
                </c:pt>
                <c:pt idx="11">
                  <c:v>1525000</c:v>
                </c:pt>
                <c:pt idx="12">
                  <c:v>1604570</c:v>
                </c:pt>
                <c:pt idx="13">
                  <c:v>1666270</c:v>
                </c:pt>
                <c:pt idx="14">
                  <c:v>1750440</c:v>
                </c:pt>
                <c:pt idx="15">
                  <c:v>1811160</c:v>
                </c:pt>
                <c:pt idx="16">
                  <c:v>1851006</c:v>
                </c:pt>
                <c:pt idx="17">
                  <c:v>1890851</c:v>
                </c:pt>
              </c:numCache>
            </c:numRef>
          </c:val>
          <c:extLst>
            <c:ext xmlns:c16="http://schemas.microsoft.com/office/drawing/2014/chart" uri="{C3380CC4-5D6E-409C-BE32-E72D297353CC}">
              <c16:uniqueId val="{00000001-12E5-4A2B-A7E1-801A9DCEFEE2}"/>
            </c:ext>
          </c:extLst>
        </c:ser>
        <c:dLbls>
          <c:showLegendKey val="0"/>
          <c:showVal val="0"/>
          <c:showCatName val="0"/>
          <c:showSerName val="0"/>
          <c:showPercent val="0"/>
          <c:showBubbleSize val="0"/>
        </c:dLbls>
        <c:gapWidth val="219"/>
        <c:overlap val="-27"/>
        <c:axId val="517946048"/>
        <c:axId val="1040373664"/>
        <c:extLst>
          <c:ext xmlns:c15="http://schemas.microsoft.com/office/drawing/2012/chart" uri="{02D57815-91ED-43cb-92C2-25804820EDAC}">
            <c15:filteredBarSeries>
              <c15:ser>
                <c:idx val="1"/>
                <c:order val="1"/>
                <c:tx>
                  <c:strRef>
                    <c:extLst>
                      <c:ext uri="{02D57815-91ED-43cb-92C2-25804820EDAC}">
                        <c15:formulaRef>
                          <c15:sqref>'[4]Analysis results'!$C$4</c15:sqref>
                        </c15:formulaRef>
                      </c:ext>
                    </c:extLst>
                    <c:strCache>
                      <c:ptCount val="1"/>
                      <c:pt idx="0">
                        <c:v>average salary of a software engineer</c:v>
                      </c:pt>
                    </c:strCache>
                  </c:strRef>
                </c:tx>
                <c:spPr>
                  <a:solidFill>
                    <a:schemeClr val="accent2"/>
                  </a:solidFill>
                  <a:ln>
                    <a:noFill/>
                  </a:ln>
                  <a:effectLst/>
                </c:spPr>
                <c:invertIfNegative val="0"/>
                <c:cat>
                  <c:numRef>
                    <c:extLst>
                      <c:ext uri="{02D57815-91ED-43cb-92C2-25804820EDAC}">
                        <c15:fullRef>
                          <c15:sqref>'[4]Analysis results'!$B$6:$B$23</c15:sqref>
                        </c15:fullRef>
                        <c15:formulaRef>
                          <c15:sqref>'[4]Analysis results'!$B$7:$B$23</c15:sqref>
                        </c15:formulaRef>
                      </c:ext>
                    </c:extLst>
                    <c:numCache>
                      <c:formatCode>General</c:formatCode>
                      <c:ptCount val="17"/>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numCache>
                  </c:numRef>
                </c:cat>
                <c:val>
                  <c:numRef>
                    <c:extLst>
                      <c:ext uri="{02D57815-91ED-43cb-92C2-25804820EDAC}">
                        <c15:fullRef>
                          <c15:sqref>'[4]Analysis results'!$C$5:$C$23</c15:sqref>
                        </c15:fullRef>
                        <c15:formulaRef>
                          <c15:sqref>'[4]Analysis results'!$C$6:$C$23</c15:sqref>
                        </c15:formulaRef>
                      </c:ext>
                    </c:extLst>
                    <c:numCache>
                      <c:formatCode>General</c:formatCode>
                      <c:ptCount val="18"/>
                      <c:pt idx="0">
                        <c:v>61350</c:v>
                      </c:pt>
                      <c:pt idx="1">
                        <c:v>61400</c:v>
                      </c:pt>
                      <c:pt idx="2">
                        <c:v>61390</c:v>
                      </c:pt>
                      <c:pt idx="3">
                        <c:v>61480</c:v>
                      </c:pt>
                      <c:pt idx="4">
                        <c:v>61520</c:v>
                      </c:pt>
                      <c:pt idx="5">
                        <c:v>61500</c:v>
                      </c:pt>
                      <c:pt idx="6">
                        <c:v>61550</c:v>
                      </c:pt>
                      <c:pt idx="7">
                        <c:v>61590</c:v>
                      </c:pt>
                      <c:pt idx="8">
                        <c:v>61600</c:v>
                      </c:pt>
                      <c:pt idx="9">
                        <c:v>61650</c:v>
                      </c:pt>
                      <c:pt idx="10">
                        <c:v>61700</c:v>
                      </c:pt>
                      <c:pt idx="11">
                        <c:v>61700</c:v>
                      </c:pt>
                      <c:pt idx="12">
                        <c:v>61800</c:v>
                      </c:pt>
                      <c:pt idx="13">
                        <c:v>61820</c:v>
                      </c:pt>
                      <c:pt idx="14">
                        <c:v>62000</c:v>
                      </c:pt>
                      <c:pt idx="15">
                        <c:v>63400</c:v>
                      </c:pt>
                      <c:pt idx="16">
                        <c:v>64600</c:v>
                      </c:pt>
                      <c:pt idx="17">
                        <c:v>70000</c:v>
                      </c:pt>
                    </c:numCache>
                  </c:numRef>
                </c:val>
                <c:extLst>
                  <c:ext xmlns:c16="http://schemas.microsoft.com/office/drawing/2014/chart" uri="{C3380CC4-5D6E-409C-BE32-E72D297353CC}">
                    <c16:uniqueId val="{00000002-12E5-4A2B-A7E1-801A9DCEFEE2}"/>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'[4]Analysis results'!$D$4</c15:sqref>
                        </c15:formulaRef>
                      </c:ext>
                    </c:extLst>
                    <c:strCache>
                      <c:ptCount val="1"/>
                      <c:pt idx="0">
                        <c:v>marketshare of software profits</c:v>
                      </c:pt>
                    </c:strCache>
                  </c:strRef>
                </c:tx>
                <c:spPr>
                  <a:solidFill>
                    <a:schemeClr val="accent3"/>
                  </a:solidFill>
                  <a:ln>
                    <a:noFill/>
                  </a:ln>
                  <a:effectLst/>
                </c:spPr>
                <c:invertIfNegative val="0"/>
                <c:cat>
                  <c:numRef>
                    <c:extLst>
                      <c:ext xmlns:c15="http://schemas.microsoft.com/office/drawing/2012/chart" uri="{02D57815-91ED-43cb-92C2-25804820EDAC}">
                        <c15:fullRef>
                          <c15:sqref>'[4]Analysis results'!$B$6:$B$23</c15:sqref>
                        </c15:fullRef>
                        <c15:formulaRef>
                          <c15:sqref>'[4]Analysis results'!$B$7:$B$23</c15:sqref>
                        </c15:formulaRef>
                      </c:ext>
                    </c:extLst>
                    <c:numCache>
                      <c:formatCode>General</c:formatCode>
                      <c:ptCount val="17"/>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numCache>
                  </c:numRef>
                </c:cat>
                <c:val>
                  <c:numRef>
                    <c:extLst>
                      <c:ext xmlns:c15="http://schemas.microsoft.com/office/drawing/2012/chart" uri="{02D57815-91ED-43cb-92C2-25804820EDAC}">
                        <c15:fullRef>
                          <c15:sqref>'[4]Analysis results'!$D$5:$D$23</c15:sqref>
                        </c15:fullRef>
                        <c15:formulaRef>
                          <c15:sqref>'[4]Analysis results'!$D$6:$D$23</c15:sqref>
                        </c15:formulaRef>
                      </c:ext>
                    </c:extLst>
                    <c:numCache>
                      <c:formatCode>General</c:formatCode>
                      <c:ptCount val="18"/>
                      <c:pt idx="0">
                        <c:v>182.5</c:v>
                      </c:pt>
                      <c:pt idx="1">
                        <c:v>188</c:v>
                      </c:pt>
                      <c:pt idx="2">
                        <c:v>190</c:v>
                      </c:pt>
                      <c:pt idx="3">
                        <c:v>190.5</c:v>
                      </c:pt>
                      <c:pt idx="4">
                        <c:v>220.4</c:v>
                      </c:pt>
                      <c:pt idx="5" formatCode="#,##0.00">
                        <c:v>225.51</c:v>
                      </c:pt>
                      <c:pt idx="6" formatCode="#,##0.00">
                        <c:v>244.64</c:v>
                      </c:pt>
                      <c:pt idx="7" formatCode="#,##0">
                        <c:v>269</c:v>
                      </c:pt>
                      <c:pt idx="8" formatCode="#,##0">
                        <c:v>285</c:v>
                      </c:pt>
                      <c:pt idx="9" formatCode="#,##0">
                        <c:v>297</c:v>
                      </c:pt>
                      <c:pt idx="10" formatCode="#,##0">
                        <c:v>310</c:v>
                      </c:pt>
                      <c:pt idx="11" formatCode="#,##0">
                        <c:v>310</c:v>
                      </c:pt>
                      <c:pt idx="12" formatCode="#,##0">
                        <c:v>326</c:v>
                      </c:pt>
                      <c:pt idx="13" formatCode="#,##0">
                        <c:v>369</c:v>
                      </c:pt>
                      <c:pt idx="14" formatCode="#,##0">
                        <c:v>419</c:v>
                      </c:pt>
                      <c:pt idx="15" formatCode="#,##0">
                        <c:v>477</c:v>
                      </c:pt>
                      <c:pt idx="16" formatCode="#,##0">
                        <c:v>529</c:v>
                      </c:pt>
                      <c:pt idx="17" formatCode="#,##0">
                        <c:v>615</c:v>
                      </c:pt>
                    </c:numCache>
                  </c:numRef>
                </c:val>
                <c:extLst xmlns:c15="http://schemas.microsoft.com/office/drawing/2012/chart">
                  <c:ext xmlns:c16="http://schemas.microsoft.com/office/drawing/2014/chart" uri="{C3380CC4-5D6E-409C-BE32-E72D297353CC}">
                    <c16:uniqueId val="{00000003-12E5-4A2B-A7E1-801A9DCEFEE2}"/>
                  </c:ext>
                </c:extLst>
              </c15:ser>
            </c15:filteredBarSeries>
          </c:ext>
        </c:extLst>
      </c:barChart>
      <c:catAx>
        <c:axId val="5179460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G"/>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1040373664"/>
        <c:crosses val="autoZero"/>
        <c:auto val="1"/>
        <c:lblAlgn val="ctr"/>
        <c:lblOffset val="100"/>
        <c:noMultiLvlLbl val="0"/>
      </c:catAx>
      <c:valAx>
        <c:axId val="1040373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Software</a:t>
                </a:r>
                <a:r>
                  <a:rPr lang="en-US" baseline="0"/>
                  <a:t> developers employed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517946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G"/>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MarketShare</a:t>
            </a:r>
            <a:r>
              <a:rPr lang="en-US" baseline="0"/>
              <a:t> Profit value(Billions)</a:t>
            </a:r>
            <a:endParaRPr lang="en-US"/>
          </a:p>
        </c:rich>
      </c:tx>
      <c:overlay val="0"/>
    </c:title>
    <c:autoTitleDeleted val="0"/>
    <c:plotArea>
      <c:layout/>
      <c:barChart>
        <c:barDir val="col"/>
        <c:grouping val="clustered"/>
        <c:varyColors val="0"/>
        <c:ser>
          <c:idx val="0"/>
          <c:order val="0"/>
          <c:spPr>
            <a:ln w="12700">
              <a:solidFill>
                <a:srgbClr val="000000"/>
              </a:solidFill>
              <a:prstDash val="solid"/>
            </a:ln>
          </c:spPr>
          <c:invertIfNegative val="0"/>
          <c:cat>
            <c:numRef>
              <c:f>'[4]Simulation results'!$F$12:$F$21</c:f>
              <c:numCache>
                <c:formatCode>General</c:formatCode>
                <c:ptCount val="10"/>
                <c:pt idx="0">
                  <c:v>104</c:v>
                </c:pt>
                <c:pt idx="1">
                  <c:v>160</c:v>
                </c:pt>
                <c:pt idx="2">
                  <c:v>216</c:v>
                </c:pt>
                <c:pt idx="3">
                  <c:v>272</c:v>
                </c:pt>
                <c:pt idx="4">
                  <c:v>328</c:v>
                </c:pt>
                <c:pt idx="5">
                  <c:v>384</c:v>
                </c:pt>
                <c:pt idx="6">
                  <c:v>440</c:v>
                </c:pt>
                <c:pt idx="7">
                  <c:v>496</c:v>
                </c:pt>
                <c:pt idx="8">
                  <c:v>552</c:v>
                </c:pt>
                <c:pt idx="9">
                  <c:v>608</c:v>
                </c:pt>
              </c:numCache>
            </c:numRef>
          </c:cat>
          <c:val>
            <c:numRef>
              <c:f>'[4]Simulation results'!$H$12:$H$21</c:f>
              <c:numCache>
                <c:formatCode>General</c:formatCode>
                <c:ptCount val="10"/>
                <c:pt idx="0">
                  <c:v>2</c:v>
                </c:pt>
                <c:pt idx="1">
                  <c:v>15</c:v>
                </c:pt>
                <c:pt idx="2">
                  <c:v>18</c:v>
                </c:pt>
                <c:pt idx="3">
                  <c:v>27</c:v>
                </c:pt>
                <c:pt idx="4">
                  <c:v>17</c:v>
                </c:pt>
                <c:pt idx="5">
                  <c:v>7</c:v>
                </c:pt>
                <c:pt idx="6">
                  <c:v>5</c:v>
                </c:pt>
                <c:pt idx="7">
                  <c:v>6</c:v>
                </c:pt>
                <c:pt idx="8">
                  <c:v>2</c:v>
                </c:pt>
                <c:pt idx="9">
                  <c:v>0</c:v>
                </c:pt>
              </c:numCache>
            </c:numRef>
          </c:val>
          <c:extLst>
            <c:ext xmlns:c16="http://schemas.microsoft.com/office/drawing/2014/chart" uri="{C3380CC4-5D6E-409C-BE32-E72D297353CC}">
              <c16:uniqueId val="{00000000-E13A-4A64-A147-E613A481F60C}"/>
            </c:ext>
          </c:extLst>
        </c:ser>
        <c:dLbls>
          <c:showLegendKey val="0"/>
          <c:showVal val="0"/>
          <c:showCatName val="0"/>
          <c:showSerName val="0"/>
          <c:showPercent val="0"/>
          <c:showBubbleSize val="0"/>
        </c:dLbls>
        <c:gapWidth val="0"/>
        <c:axId val="380746096"/>
        <c:axId val="380752336"/>
      </c:barChart>
      <c:catAx>
        <c:axId val="380746096"/>
        <c:scaling>
          <c:orientation val="minMax"/>
        </c:scaling>
        <c:delete val="0"/>
        <c:axPos val="b"/>
        <c:title>
          <c:tx>
            <c:rich>
              <a:bodyPr/>
              <a:lstStyle/>
              <a:p>
                <a:pPr>
                  <a:defRPr sz="800"/>
                </a:pPr>
                <a:r>
                  <a:rPr lang="en-US"/>
                  <a:t>Marketshare Profit</a:t>
                </a:r>
                <a:r>
                  <a:rPr lang="en-US" baseline="0"/>
                  <a:t> value</a:t>
                </a:r>
                <a:endParaRPr lang="en-US"/>
              </a:p>
            </c:rich>
          </c:tx>
          <c:overlay val="0"/>
        </c:title>
        <c:numFmt formatCode="General" sourceLinked="1"/>
        <c:majorTickMark val="out"/>
        <c:minorTickMark val="none"/>
        <c:tickLblPos val="nextTo"/>
        <c:crossAx val="380752336"/>
        <c:crosses val="autoZero"/>
        <c:auto val="1"/>
        <c:lblAlgn val="ctr"/>
        <c:lblOffset val="100"/>
        <c:noMultiLvlLbl val="0"/>
      </c:catAx>
      <c:valAx>
        <c:axId val="380752336"/>
        <c:scaling>
          <c:orientation val="minMax"/>
        </c:scaling>
        <c:delete val="0"/>
        <c:axPos val="l"/>
        <c:majorGridlines/>
        <c:title>
          <c:tx>
            <c:rich>
              <a:bodyPr/>
              <a:lstStyle/>
              <a:p>
                <a:pPr>
                  <a:defRPr sz="800"/>
                </a:pPr>
                <a:r>
                  <a:rPr lang="en-US"/>
                  <a:t>Frequency</a:t>
                </a:r>
              </a:p>
            </c:rich>
          </c:tx>
          <c:overlay val="0"/>
        </c:title>
        <c:numFmt formatCode="0" sourceLinked="0"/>
        <c:majorTickMark val="out"/>
        <c:minorTickMark val="none"/>
        <c:tickLblPos val="nextTo"/>
        <c:crossAx val="380746096"/>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257175</xdr:colOff>
      <xdr:row>26</xdr:row>
      <xdr:rowOff>9525</xdr:rowOff>
    </xdr:from>
    <xdr:to>
      <xdr:col>12</xdr:col>
      <xdr:colOff>466797</xdr:colOff>
      <xdr:row>39</xdr:row>
      <xdr:rowOff>25078</xdr:rowOff>
    </xdr:to>
    <xdr:graphicFrame macro="">
      <xdr:nvGraphicFramePr>
        <xdr:cNvPr id="6" name="Chart 5">
          <a:extLst>
            <a:ext uri="{FF2B5EF4-FFF2-40B4-BE49-F238E27FC236}">
              <a16:creationId xmlns:a16="http://schemas.microsoft.com/office/drawing/2014/main" id="{88AD946E-B432-478B-AAA2-B33318A136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xdr:row>
      <xdr:rowOff>0</xdr:rowOff>
    </xdr:from>
    <xdr:to>
      <xdr:col>8</xdr:col>
      <xdr:colOff>297664</xdr:colOff>
      <xdr:row>20</xdr:row>
      <xdr:rowOff>170287</xdr:rowOff>
    </xdr:to>
    <xdr:graphicFrame macro="">
      <xdr:nvGraphicFramePr>
        <xdr:cNvPr id="8" name="Chart 7">
          <a:extLst>
            <a:ext uri="{FF2B5EF4-FFF2-40B4-BE49-F238E27FC236}">
              <a16:creationId xmlns:a16="http://schemas.microsoft.com/office/drawing/2014/main" id="{3DB6C13B-05A2-459E-A410-921D26CB18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7</xdr:row>
      <xdr:rowOff>0</xdr:rowOff>
    </xdr:from>
    <xdr:to>
      <xdr:col>17</xdr:col>
      <xdr:colOff>298824</xdr:colOff>
      <xdr:row>21</xdr:row>
      <xdr:rowOff>147545</xdr:rowOff>
    </xdr:to>
    <xdr:graphicFrame macro="">
      <xdr:nvGraphicFramePr>
        <xdr:cNvPr id="9" name="Chart 8">
          <a:extLst>
            <a:ext uri="{FF2B5EF4-FFF2-40B4-BE49-F238E27FC236}">
              <a16:creationId xmlns:a16="http://schemas.microsoft.com/office/drawing/2014/main" id="{03B04421-1927-49C3-9416-121700D1F7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0</xdr:colOff>
      <xdr:row>7</xdr:row>
      <xdr:rowOff>0</xdr:rowOff>
    </xdr:from>
    <xdr:to>
      <xdr:col>25</xdr:col>
      <xdr:colOff>278168</xdr:colOff>
      <xdr:row>21</xdr:row>
      <xdr:rowOff>52682</xdr:rowOff>
    </xdr:to>
    <xdr:graphicFrame macro="">
      <xdr:nvGraphicFramePr>
        <xdr:cNvPr id="10" name="Chart 9">
          <a:extLst>
            <a:ext uri="{FF2B5EF4-FFF2-40B4-BE49-F238E27FC236}">
              <a16:creationId xmlns:a16="http://schemas.microsoft.com/office/drawing/2014/main" id="{431FC89A-107D-4E81-9C31-F4B4C51434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130</xdr:row>
      <xdr:rowOff>0</xdr:rowOff>
    </xdr:from>
    <xdr:to>
      <xdr:col>13</xdr:col>
      <xdr:colOff>237196</xdr:colOff>
      <xdr:row>144</xdr:row>
      <xdr:rowOff>6505</xdr:rowOff>
    </xdr:to>
    <xdr:graphicFrame macro="">
      <xdr:nvGraphicFramePr>
        <xdr:cNvPr id="11" name="Chart 10">
          <a:extLst>
            <a:ext uri="{FF2B5EF4-FFF2-40B4-BE49-F238E27FC236}">
              <a16:creationId xmlns:a16="http://schemas.microsoft.com/office/drawing/2014/main" id="{AFF6F01B-475D-4A5D-925C-36E5D1A7B7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InternetUsageUSA_ENM500MainProject_SabaHussai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oftware%20dev%20half%20done.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imulations-v2.15%20(3)%20(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ELL/OneDrive/Desktop/Akhil%20Indivitual%20applied%20exam%20final%20final.xlsm"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Analysis%20result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Analysis of the dataset"/>
      <sheetName val="Simulation results"/>
      <sheetName val="Chi-Square and F distribution"/>
    </sheetNames>
    <sheetDataSet>
      <sheetData sheetId="0">
        <row r="4">
          <cell r="C4">
            <v>1.95</v>
          </cell>
        </row>
        <row r="5">
          <cell r="C5">
            <v>4.4000000000000004</v>
          </cell>
        </row>
        <row r="6">
          <cell r="C6">
            <v>12.75</v>
          </cell>
        </row>
        <row r="7">
          <cell r="C7">
            <v>44.17</v>
          </cell>
        </row>
        <row r="8">
          <cell r="C8">
            <v>83.01</v>
          </cell>
        </row>
        <row r="9">
          <cell r="C9">
            <v>121.65</v>
          </cell>
        </row>
        <row r="10">
          <cell r="C10">
            <v>169.51</v>
          </cell>
        </row>
        <row r="11">
          <cell r="C11">
            <v>190.36</v>
          </cell>
        </row>
        <row r="12">
          <cell r="C12">
            <v>206.61</v>
          </cell>
        </row>
        <row r="13">
          <cell r="C13">
            <v>226.21</v>
          </cell>
        </row>
        <row r="14">
          <cell r="C14">
            <v>223.09</v>
          </cell>
        </row>
        <row r="15">
          <cell r="C15">
            <v>236.54</v>
          </cell>
        </row>
        <row r="16">
          <cell r="C16">
            <v>235.08</v>
          </cell>
        </row>
        <row r="17">
          <cell r="C17">
            <v>279.91000000000003</v>
          </cell>
        </row>
        <row r="18">
          <cell r="C18">
            <v>293.94</v>
          </cell>
        </row>
        <row r="19">
          <cell r="C19">
            <v>305.37</v>
          </cell>
        </row>
      </sheetData>
      <sheetData sheetId="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33">
          <cell r="Y33" t="str">
            <v>Frequency</v>
          </cell>
        </row>
        <row r="69">
          <cell r="W69">
            <v>180</v>
          </cell>
          <cell r="X69">
            <v>0</v>
          </cell>
        </row>
        <row r="70">
          <cell r="W70">
            <v>200</v>
          </cell>
          <cell r="X70">
            <v>4</v>
          </cell>
        </row>
        <row r="71">
          <cell r="W71">
            <v>220</v>
          </cell>
          <cell r="X71">
            <v>4</v>
          </cell>
        </row>
        <row r="72">
          <cell r="W72">
            <v>240</v>
          </cell>
          <cell r="X72">
            <v>6</v>
          </cell>
        </row>
        <row r="73">
          <cell r="J73" t="str">
            <v>P &lt; Xlower</v>
          </cell>
          <cell r="K73">
            <v>0.27771756256104901</v>
          </cell>
          <cell r="W73">
            <v>260</v>
          </cell>
          <cell r="X73">
            <v>7</v>
          </cell>
        </row>
        <row r="74">
          <cell r="J74" t="str">
            <v>P &gt; Xupper</v>
          </cell>
          <cell r="K74">
            <v>0.41689623382613172</v>
          </cell>
          <cell r="W74">
            <v>280</v>
          </cell>
          <cell r="X74">
            <v>8</v>
          </cell>
        </row>
        <row r="75">
          <cell r="J75" t="str">
            <v>P between</v>
          </cell>
          <cell r="K75">
            <v>0.30538620361281926</v>
          </cell>
          <cell r="W75">
            <v>300</v>
          </cell>
          <cell r="X75">
            <v>10</v>
          </cell>
        </row>
        <row r="76">
          <cell r="W76">
            <v>320</v>
          </cell>
          <cell r="X76">
            <v>12</v>
          </cell>
        </row>
        <row r="77">
          <cell r="W77">
            <v>340</v>
          </cell>
          <cell r="X77">
            <v>13</v>
          </cell>
        </row>
        <row r="78">
          <cell r="W78">
            <v>360</v>
          </cell>
          <cell r="X78">
            <v>13</v>
          </cell>
        </row>
        <row r="79">
          <cell r="W79">
            <v>380</v>
          </cell>
          <cell r="X79">
            <v>14</v>
          </cell>
        </row>
        <row r="80">
          <cell r="W80">
            <v>400</v>
          </cell>
          <cell r="X80">
            <v>14</v>
          </cell>
        </row>
        <row r="81">
          <cell r="W81">
            <v>420</v>
          </cell>
          <cell r="X81">
            <v>15</v>
          </cell>
        </row>
        <row r="82">
          <cell r="W82">
            <v>440</v>
          </cell>
          <cell r="X82">
            <v>15</v>
          </cell>
        </row>
        <row r="83">
          <cell r="W83">
            <v>460</v>
          </cell>
          <cell r="X83">
            <v>15</v>
          </cell>
        </row>
        <row r="84">
          <cell r="W84">
            <v>480</v>
          </cell>
          <cell r="X84">
            <v>16</v>
          </cell>
        </row>
        <row r="85">
          <cell r="W85">
            <v>500</v>
          </cell>
          <cell r="X85">
            <v>16</v>
          </cell>
        </row>
        <row r="86">
          <cell r="W86">
            <v>520</v>
          </cell>
          <cell r="X86">
            <v>16</v>
          </cell>
        </row>
        <row r="87">
          <cell r="W87">
            <v>540</v>
          </cell>
          <cell r="X87">
            <v>17</v>
          </cell>
        </row>
        <row r="88">
          <cell r="W88">
            <v>560</v>
          </cell>
          <cell r="X88">
            <v>17</v>
          </cell>
        </row>
        <row r="89">
          <cell r="W89">
            <v>580</v>
          </cell>
          <cell r="X89">
            <v>17</v>
          </cell>
        </row>
        <row r="90">
          <cell r="W90">
            <v>600</v>
          </cell>
          <cell r="X90">
            <v>17</v>
          </cell>
        </row>
        <row r="91">
          <cell r="W91">
            <v>620</v>
          </cell>
          <cell r="X91">
            <v>18</v>
          </cell>
        </row>
        <row r="107">
          <cell r="AG107" t="str">
            <v>Frequency</v>
          </cell>
        </row>
        <row r="108">
          <cell r="AF108">
            <v>0.1</v>
          </cell>
          <cell r="AG108">
            <v>1</v>
          </cell>
        </row>
        <row r="109">
          <cell r="AF109">
            <v>0.15</v>
          </cell>
          <cell r="AG109">
            <v>2</v>
          </cell>
        </row>
        <row r="110">
          <cell r="AF110">
            <v>0.2</v>
          </cell>
          <cell r="AG110">
            <v>7</v>
          </cell>
        </row>
        <row r="111">
          <cell r="AF111">
            <v>0.25</v>
          </cell>
          <cell r="AG111">
            <v>9</v>
          </cell>
        </row>
        <row r="112">
          <cell r="AF112">
            <v>0.3</v>
          </cell>
          <cell r="AG112">
            <v>9</v>
          </cell>
        </row>
        <row r="113">
          <cell r="AF113">
            <v>0.35</v>
          </cell>
          <cell r="AG113">
            <v>10</v>
          </cell>
        </row>
        <row r="114">
          <cell r="AF114">
            <v>0.4</v>
          </cell>
          <cell r="AG114">
            <v>7</v>
          </cell>
        </row>
        <row r="115">
          <cell r="AF115">
            <v>0.45</v>
          </cell>
          <cell r="AG115">
            <v>3</v>
          </cell>
        </row>
        <row r="116">
          <cell r="AF116">
            <v>0.5</v>
          </cell>
          <cell r="AG116">
            <v>0</v>
          </cell>
        </row>
        <row r="117">
          <cell r="AF117" t="str">
            <v>More</v>
          </cell>
          <cell r="AG117">
            <v>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imulation results"/>
      <sheetName val="Sheet3"/>
    </sheetNames>
    <sheetDataSet>
      <sheetData sheetId="0" refreshError="1"/>
      <sheetData sheetId="1" refreshError="1"/>
      <sheetData sheetId="2" refreshError="1"/>
      <sheetData sheetId="3">
        <row r="6">
          <cell r="C6">
            <v>61350</v>
          </cell>
          <cell r="D6">
            <v>182.5</v>
          </cell>
          <cell r="E6">
            <v>1008460</v>
          </cell>
        </row>
        <row r="7">
          <cell r="D7">
            <v>188</v>
          </cell>
          <cell r="E7">
            <v>1012140</v>
          </cell>
        </row>
        <row r="8">
          <cell r="D8">
            <v>190</v>
          </cell>
          <cell r="E8">
            <v>1056452</v>
          </cell>
        </row>
        <row r="9">
          <cell r="D9">
            <v>190.5</v>
          </cell>
          <cell r="E9">
            <v>1096450</v>
          </cell>
        </row>
        <row r="10">
          <cell r="D10">
            <v>220.4</v>
          </cell>
          <cell r="E10">
            <v>1120460</v>
          </cell>
        </row>
        <row r="11">
          <cell r="D11">
            <v>225.51</v>
          </cell>
          <cell r="E11">
            <v>1180450</v>
          </cell>
        </row>
        <row r="12">
          <cell r="D12">
            <v>244.64</v>
          </cell>
          <cell r="E12">
            <v>1210560</v>
          </cell>
        </row>
        <row r="13">
          <cell r="D13">
            <v>269</v>
          </cell>
          <cell r="E13">
            <v>1265450</v>
          </cell>
        </row>
        <row r="14">
          <cell r="D14">
            <v>285</v>
          </cell>
          <cell r="E14">
            <v>1397780</v>
          </cell>
        </row>
        <row r="15">
          <cell r="D15">
            <v>297</v>
          </cell>
          <cell r="E15">
            <v>1410000</v>
          </cell>
        </row>
        <row r="16">
          <cell r="D16">
            <v>310</v>
          </cell>
          <cell r="E16">
            <v>1492040</v>
          </cell>
        </row>
        <row r="17">
          <cell r="D17">
            <v>310</v>
          </cell>
          <cell r="E17">
            <v>1525000</v>
          </cell>
        </row>
        <row r="18">
          <cell r="D18">
            <v>326</v>
          </cell>
          <cell r="E18">
            <v>1604570</v>
          </cell>
        </row>
        <row r="19">
          <cell r="D19">
            <v>369</v>
          </cell>
          <cell r="E19">
            <v>1666270</v>
          </cell>
        </row>
        <row r="20">
          <cell r="D20">
            <v>419</v>
          </cell>
          <cell r="E20">
            <v>1750440</v>
          </cell>
        </row>
        <row r="21">
          <cell r="D21">
            <v>477</v>
          </cell>
          <cell r="E21">
            <v>1811160</v>
          </cell>
        </row>
        <row r="22">
          <cell r="D22">
            <v>529</v>
          </cell>
          <cell r="E22">
            <v>1851006</v>
          </cell>
        </row>
        <row r="23">
          <cell r="D23">
            <v>615</v>
          </cell>
          <cell r="E23">
            <v>1890851</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alysis results"/>
      <sheetName val="Simulation results"/>
      <sheetName val="Regression and chi-square"/>
    </sheetNames>
    <sheetDataSet>
      <sheetData sheetId="0">
        <row r="4">
          <cell r="B4" t="str">
            <v>year</v>
          </cell>
          <cell r="C4" t="str">
            <v>average salary of a software engineer</v>
          </cell>
          <cell r="D4" t="str">
            <v>marketshare of software profits</v>
          </cell>
          <cell r="E4" t="str">
            <v>Software developers employed</v>
          </cell>
        </row>
        <row r="5">
          <cell r="C5" t="str">
            <v>(in $)</v>
          </cell>
          <cell r="D5" t="str">
            <v>(in Billion $)</v>
          </cell>
        </row>
        <row r="6">
          <cell r="B6">
            <v>2004</v>
          </cell>
          <cell r="C6">
            <v>61350</v>
          </cell>
          <cell r="D6">
            <v>182.5</v>
          </cell>
          <cell r="E6">
            <v>1008460</v>
          </cell>
        </row>
        <row r="7">
          <cell r="B7">
            <v>2005</v>
          </cell>
          <cell r="C7">
            <v>61400</v>
          </cell>
          <cell r="D7">
            <v>188</v>
          </cell>
          <cell r="E7">
            <v>1012140</v>
          </cell>
        </row>
        <row r="8">
          <cell r="B8">
            <v>2006</v>
          </cell>
          <cell r="C8">
            <v>61390</v>
          </cell>
          <cell r="D8">
            <v>190</v>
          </cell>
          <cell r="E8">
            <v>1056452</v>
          </cell>
        </row>
        <row r="9">
          <cell r="B9">
            <v>2007</v>
          </cell>
          <cell r="C9">
            <v>61480</v>
          </cell>
          <cell r="D9">
            <v>190.5</v>
          </cell>
          <cell r="E9">
            <v>1096450</v>
          </cell>
        </row>
        <row r="10">
          <cell r="B10">
            <v>2008</v>
          </cell>
          <cell r="C10">
            <v>61520</v>
          </cell>
          <cell r="D10">
            <v>220.4</v>
          </cell>
          <cell r="E10">
            <v>1120460</v>
          </cell>
        </row>
        <row r="11">
          <cell r="B11">
            <v>2009</v>
          </cell>
          <cell r="C11">
            <v>61500</v>
          </cell>
          <cell r="D11">
            <v>225.51</v>
          </cell>
          <cell r="E11">
            <v>1180450</v>
          </cell>
        </row>
        <row r="12">
          <cell r="B12">
            <v>2010</v>
          </cell>
          <cell r="C12">
            <v>61550</v>
          </cell>
          <cell r="D12">
            <v>244.64</v>
          </cell>
          <cell r="E12">
            <v>1210560</v>
          </cell>
        </row>
        <row r="13">
          <cell r="B13">
            <v>2011</v>
          </cell>
          <cell r="C13">
            <v>61590</v>
          </cell>
          <cell r="D13">
            <v>269</v>
          </cell>
          <cell r="E13">
            <v>1265450</v>
          </cell>
        </row>
        <row r="14">
          <cell r="B14">
            <v>2012</v>
          </cell>
          <cell r="C14">
            <v>61600</v>
          </cell>
          <cell r="D14">
            <v>285</v>
          </cell>
          <cell r="E14">
            <v>1397780</v>
          </cell>
        </row>
        <row r="15">
          <cell r="B15">
            <v>2013</v>
          </cell>
          <cell r="C15">
            <v>61650</v>
          </cell>
          <cell r="D15">
            <v>297</v>
          </cell>
          <cell r="E15">
            <v>1410000</v>
          </cell>
        </row>
        <row r="16">
          <cell r="B16">
            <v>2014</v>
          </cell>
          <cell r="C16">
            <v>61700</v>
          </cell>
          <cell r="D16">
            <v>310</v>
          </cell>
          <cell r="E16">
            <v>1492040</v>
          </cell>
        </row>
        <row r="17">
          <cell r="B17">
            <v>2015</v>
          </cell>
          <cell r="C17">
            <v>61700</v>
          </cell>
          <cell r="D17">
            <v>310</v>
          </cell>
          <cell r="E17">
            <v>1525000</v>
          </cell>
        </row>
        <row r="18">
          <cell r="B18">
            <v>2016</v>
          </cell>
          <cell r="C18">
            <v>61800</v>
          </cell>
          <cell r="D18">
            <v>326</v>
          </cell>
          <cell r="E18">
            <v>1604570</v>
          </cell>
        </row>
        <row r="19">
          <cell r="B19">
            <v>2017</v>
          </cell>
          <cell r="C19">
            <v>61820</v>
          </cell>
          <cell r="D19">
            <v>369</v>
          </cell>
          <cell r="E19">
            <v>1666270</v>
          </cell>
        </row>
        <row r="20">
          <cell r="B20">
            <v>2018</v>
          </cell>
          <cell r="C20">
            <v>62000</v>
          </cell>
          <cell r="D20">
            <v>419</v>
          </cell>
          <cell r="E20">
            <v>1750440</v>
          </cell>
        </row>
        <row r="21">
          <cell r="B21">
            <v>2019</v>
          </cell>
          <cell r="C21">
            <v>63400</v>
          </cell>
          <cell r="D21">
            <v>477</v>
          </cell>
          <cell r="E21">
            <v>1811160</v>
          </cell>
        </row>
        <row r="22">
          <cell r="B22">
            <v>2020</v>
          </cell>
          <cell r="C22">
            <v>64600</v>
          </cell>
          <cell r="D22">
            <v>529</v>
          </cell>
          <cell r="E22">
            <v>1851006</v>
          </cell>
        </row>
        <row r="23">
          <cell r="B23">
            <v>2021</v>
          </cell>
          <cell r="C23">
            <v>70000</v>
          </cell>
          <cell r="D23">
            <v>615</v>
          </cell>
          <cell r="E23">
            <v>1890851</v>
          </cell>
        </row>
        <row r="38">
          <cell r="H38">
            <v>180</v>
          </cell>
          <cell r="I38">
            <v>0</v>
          </cell>
        </row>
        <row r="39">
          <cell r="D39">
            <v>61300</v>
          </cell>
          <cell r="E39">
            <v>0</v>
          </cell>
          <cell r="H39">
            <v>200</v>
          </cell>
          <cell r="I39">
            <v>4</v>
          </cell>
        </row>
        <row r="40">
          <cell r="D40">
            <v>62086</v>
          </cell>
          <cell r="E40">
            <v>15</v>
          </cell>
          <cell r="H40">
            <v>220</v>
          </cell>
          <cell r="I40">
            <v>0</v>
          </cell>
        </row>
        <row r="41">
          <cell r="D41">
            <v>62872</v>
          </cell>
          <cell r="E41">
            <v>0</v>
          </cell>
          <cell r="H41">
            <v>240</v>
          </cell>
          <cell r="I41">
            <v>2</v>
          </cell>
        </row>
        <row r="42">
          <cell r="D42">
            <v>63658</v>
          </cell>
          <cell r="E42">
            <v>1</v>
          </cell>
          <cell r="H42">
            <v>260</v>
          </cell>
          <cell r="I42">
            <v>1</v>
          </cell>
        </row>
        <row r="43">
          <cell r="D43">
            <v>64444</v>
          </cell>
          <cell r="E43">
            <v>0</v>
          </cell>
          <cell r="H43">
            <v>280</v>
          </cell>
          <cell r="I43">
            <v>1</v>
          </cell>
        </row>
        <row r="44">
          <cell r="D44">
            <v>65230</v>
          </cell>
          <cell r="E44">
            <v>1</v>
          </cell>
          <cell r="H44">
            <v>300</v>
          </cell>
          <cell r="I44">
            <v>2</v>
          </cell>
        </row>
        <row r="45">
          <cell r="D45">
            <v>66016</v>
          </cell>
          <cell r="E45">
            <v>0</v>
          </cell>
          <cell r="H45">
            <v>320</v>
          </cell>
          <cell r="I45">
            <v>2</v>
          </cell>
        </row>
        <row r="46">
          <cell r="D46">
            <v>66802</v>
          </cell>
          <cell r="E46">
            <v>0</v>
          </cell>
          <cell r="H46">
            <v>340</v>
          </cell>
          <cell r="I46">
            <v>1</v>
          </cell>
        </row>
        <row r="47">
          <cell r="D47">
            <v>67588</v>
          </cell>
          <cell r="E47">
            <v>0</v>
          </cell>
          <cell r="H47">
            <v>360</v>
          </cell>
          <cell r="I47">
            <v>0</v>
          </cell>
        </row>
        <row r="48">
          <cell r="D48">
            <v>68374</v>
          </cell>
          <cell r="E48">
            <v>0</v>
          </cell>
          <cell r="H48">
            <v>380</v>
          </cell>
          <cell r="I48">
            <v>1</v>
          </cell>
        </row>
        <row r="49">
          <cell r="D49">
            <v>69160</v>
          </cell>
          <cell r="E49">
            <v>0</v>
          </cell>
          <cell r="H49">
            <v>400</v>
          </cell>
          <cell r="I49">
            <v>0</v>
          </cell>
        </row>
        <row r="50">
          <cell r="D50">
            <v>69946</v>
          </cell>
          <cell r="E50">
            <v>0</v>
          </cell>
          <cell r="H50">
            <v>420</v>
          </cell>
          <cell r="I50">
            <v>1</v>
          </cell>
        </row>
        <row r="51">
          <cell r="D51">
            <v>70732</v>
          </cell>
          <cell r="E51">
            <v>1</v>
          </cell>
          <cell r="H51">
            <v>440</v>
          </cell>
          <cell r="I51">
            <v>0</v>
          </cell>
        </row>
        <row r="52">
          <cell r="D52" t="str">
            <v>More</v>
          </cell>
          <cell r="E52">
            <v>0</v>
          </cell>
          <cell r="H52">
            <v>460</v>
          </cell>
          <cell r="I52">
            <v>0</v>
          </cell>
        </row>
        <row r="53">
          <cell r="H53">
            <v>480</v>
          </cell>
          <cell r="I53">
            <v>1</v>
          </cell>
        </row>
        <row r="54">
          <cell r="H54">
            <v>500</v>
          </cell>
          <cell r="I54">
            <v>0</v>
          </cell>
        </row>
        <row r="55">
          <cell r="H55">
            <v>520</v>
          </cell>
          <cell r="I55">
            <v>0</v>
          </cell>
        </row>
        <row r="56">
          <cell r="H56">
            <v>540</v>
          </cell>
          <cell r="I56">
            <v>1</v>
          </cell>
        </row>
        <row r="57">
          <cell r="H57">
            <v>560</v>
          </cell>
          <cell r="I57">
            <v>0</v>
          </cell>
        </row>
        <row r="58">
          <cell r="H58">
            <v>580</v>
          </cell>
          <cell r="I58">
            <v>0</v>
          </cell>
        </row>
        <row r="59">
          <cell r="H59">
            <v>600</v>
          </cell>
          <cell r="I59">
            <v>0</v>
          </cell>
        </row>
        <row r="60">
          <cell r="H60">
            <v>620</v>
          </cell>
          <cell r="I60">
            <v>1</v>
          </cell>
        </row>
        <row r="61">
          <cell r="H61" t="str">
            <v>More</v>
          </cell>
          <cell r="I61">
            <v>0</v>
          </cell>
        </row>
      </sheetData>
      <sheetData sheetId="1">
        <row r="12">
          <cell r="F12">
            <v>104</v>
          </cell>
          <cell r="H12">
            <v>2</v>
          </cell>
        </row>
        <row r="13">
          <cell r="F13">
            <v>160</v>
          </cell>
          <cell r="H13">
            <v>15</v>
          </cell>
        </row>
        <row r="14">
          <cell r="F14">
            <v>216</v>
          </cell>
          <cell r="H14">
            <v>18</v>
          </cell>
        </row>
        <row r="15">
          <cell r="F15">
            <v>272</v>
          </cell>
          <cell r="H15">
            <v>27</v>
          </cell>
        </row>
        <row r="16">
          <cell r="F16">
            <v>328</v>
          </cell>
          <cell r="H16">
            <v>17</v>
          </cell>
        </row>
        <row r="17">
          <cell r="F17">
            <v>384</v>
          </cell>
          <cell r="H17">
            <v>7</v>
          </cell>
        </row>
        <row r="18">
          <cell r="F18">
            <v>440</v>
          </cell>
          <cell r="H18">
            <v>5</v>
          </cell>
        </row>
        <row r="19">
          <cell r="F19">
            <v>496</v>
          </cell>
          <cell r="H19">
            <v>6</v>
          </cell>
        </row>
        <row r="20">
          <cell r="F20">
            <v>552</v>
          </cell>
          <cell r="H20">
            <v>2</v>
          </cell>
        </row>
        <row r="21">
          <cell r="F21">
            <v>608</v>
          </cell>
          <cell r="H21">
            <v>0</v>
          </cell>
        </row>
      </sheetData>
      <sheetData sheetId="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alysis result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E53AB-94C9-43FB-AEF7-6363F0E4EFF7}">
  <dimension ref="A4:Q160"/>
  <sheetViews>
    <sheetView tabSelected="1" topLeftCell="A153" workbookViewId="0">
      <selection activeCell="F131" sqref="F131"/>
    </sheetView>
  </sheetViews>
  <sheetFormatPr defaultRowHeight="15" x14ac:dyDescent="0.25"/>
  <cols>
    <col min="2" max="2" width="1.85546875" customWidth="1"/>
    <col min="3" max="3" width="19.5703125" customWidth="1"/>
    <col min="7" max="7" width="19.85546875" customWidth="1"/>
  </cols>
  <sheetData>
    <row r="4" spans="1:6" ht="26.25" x14ac:dyDescent="0.4">
      <c r="F4" s="44" t="s">
        <v>46</v>
      </c>
    </row>
    <row r="7" spans="1:6" x14ac:dyDescent="0.25">
      <c r="A7" t="s">
        <v>47</v>
      </c>
    </row>
    <row r="25" spans="1:6" x14ac:dyDescent="0.25">
      <c r="F25" s="45" t="s">
        <v>48</v>
      </c>
    </row>
    <row r="27" spans="1:6" x14ac:dyDescent="0.25">
      <c r="A27" t="s">
        <v>49</v>
      </c>
      <c r="C27" s="46" t="s">
        <v>66</v>
      </c>
    </row>
    <row r="41" spans="3:17" x14ac:dyDescent="0.25">
      <c r="H41" s="41"/>
      <c r="I41" s="41"/>
    </row>
    <row r="42" spans="3:17" ht="18" x14ac:dyDescent="0.35">
      <c r="C42" s="24" t="s">
        <v>2</v>
      </c>
      <c r="D42" s="1" t="s">
        <v>2</v>
      </c>
      <c r="E42" s="2">
        <f>NORMSDIST(E40)</f>
        <v>0.5</v>
      </c>
      <c r="H42" s="41"/>
      <c r="I42" s="42"/>
    </row>
    <row r="43" spans="3:17" ht="18" x14ac:dyDescent="0.35">
      <c r="C43" s="24" t="s">
        <v>3</v>
      </c>
      <c r="D43" s="1" t="s">
        <v>3</v>
      </c>
      <c r="E43" s="2">
        <f>1-NORMSDIST(E41)</f>
        <v>0.5</v>
      </c>
      <c r="H43" s="41"/>
      <c r="I43" s="42"/>
      <c r="J43" s="40"/>
      <c r="K43" s="7"/>
      <c r="L43" s="7"/>
      <c r="M43" s="7" t="s">
        <v>5</v>
      </c>
      <c r="N43" s="7"/>
      <c r="O43" s="7"/>
      <c r="P43" s="7"/>
      <c r="Q43" s="7"/>
    </row>
    <row r="44" spans="3:17" ht="15.75" thickBot="1" x14ac:dyDescent="0.3">
      <c r="C44" s="25" t="s">
        <v>4</v>
      </c>
      <c r="D44" s="3" t="s">
        <v>4</v>
      </c>
      <c r="E44" s="4">
        <v>0.42</v>
      </c>
      <c r="H44" s="41"/>
      <c r="I44" s="6"/>
      <c r="J44" s="40"/>
      <c r="K44" s="26" t="e">
        <f>#REF!</f>
        <v>#REF!</v>
      </c>
      <c r="L44" s="7">
        <v>320</v>
      </c>
      <c r="M44" s="7">
        <v>330</v>
      </c>
      <c r="N44" s="7">
        <v>340</v>
      </c>
      <c r="O44" s="7">
        <v>350</v>
      </c>
      <c r="P44" s="7">
        <v>360</v>
      </c>
      <c r="Q44" s="7">
        <v>370</v>
      </c>
    </row>
    <row r="45" spans="3:17" x14ac:dyDescent="0.25">
      <c r="H45" s="41"/>
      <c r="I45" s="6"/>
      <c r="J45" s="40"/>
      <c r="K45" s="7">
        <v>220</v>
      </c>
      <c r="L45" s="14">
        <v>0.29314812843295024</v>
      </c>
      <c r="M45" s="14">
        <v>0.3249055173605564</v>
      </c>
      <c r="N45" s="14">
        <v>0.35633499901473153</v>
      </c>
      <c r="O45" s="14">
        <v>0.38724188757573264</v>
      </c>
      <c r="P45" s="32">
        <v>0.41744133460901178</v>
      </c>
      <c r="Q45" s="32">
        <v>0.44676162939958008</v>
      </c>
    </row>
    <row r="46" spans="3:17" x14ac:dyDescent="0.25">
      <c r="H46" s="41"/>
      <c r="I46" s="6"/>
      <c r="J46" s="40"/>
      <c r="K46" s="7">
        <v>230</v>
      </c>
      <c r="L46" s="14">
        <v>0.2683550466783261</v>
      </c>
      <c r="M46" s="14">
        <v>0.30011243560593226</v>
      </c>
      <c r="N46" s="14">
        <v>0.3315419172601074</v>
      </c>
      <c r="O46" s="14">
        <v>0.3624488058211085</v>
      </c>
      <c r="P46" s="14">
        <v>0.39264825285438765</v>
      </c>
      <c r="Q46" s="32">
        <v>0.42196854764495595</v>
      </c>
    </row>
    <row r="47" spans="3:17" x14ac:dyDescent="0.25">
      <c r="H47" s="41"/>
      <c r="I47" s="6"/>
      <c r="J47" s="40"/>
      <c r="K47" s="7">
        <v>240</v>
      </c>
      <c r="L47" s="14">
        <v>0.24219933303103797</v>
      </c>
      <c r="M47" s="14">
        <v>0.27395672195864412</v>
      </c>
      <c r="N47" s="27">
        <v>0.30538620361281926</v>
      </c>
      <c r="O47" s="14">
        <v>0.33629309217382036</v>
      </c>
      <c r="P47" s="14">
        <v>0.36649253920709951</v>
      </c>
      <c r="Q47" s="32">
        <v>0.39581283399766781</v>
      </c>
    </row>
    <row r="48" spans="3:17" x14ac:dyDescent="0.25">
      <c r="H48" s="41"/>
      <c r="I48" s="6"/>
      <c r="J48" s="40" t="s">
        <v>6</v>
      </c>
      <c r="K48" s="7">
        <v>250</v>
      </c>
      <c r="L48" s="14">
        <v>0.21478180649782064</v>
      </c>
      <c r="M48" s="14">
        <v>0.24653919542542679</v>
      </c>
      <c r="N48" s="14">
        <v>0.27796867707960193</v>
      </c>
      <c r="O48" s="14">
        <v>0.30887556564060303</v>
      </c>
      <c r="P48" s="14">
        <v>0.33907501267388218</v>
      </c>
      <c r="Q48" s="14">
        <v>0.36839530746445048</v>
      </c>
    </row>
    <row r="49" spans="1:17" x14ac:dyDescent="0.25">
      <c r="H49" s="41"/>
      <c r="I49" s="6"/>
      <c r="J49" s="40"/>
      <c r="K49" s="7">
        <v>260</v>
      </c>
      <c r="L49" s="14">
        <v>0.18622460751685532</v>
      </c>
      <c r="M49" s="14">
        <v>0.21798199644446148</v>
      </c>
      <c r="N49" s="14">
        <v>0.24941147809863662</v>
      </c>
      <c r="O49" s="14">
        <v>0.28031836665963772</v>
      </c>
      <c r="P49" s="14">
        <v>0.31051781369291687</v>
      </c>
      <c r="Q49" s="14">
        <v>0.33983810848348517</v>
      </c>
    </row>
    <row r="50" spans="1:17" x14ac:dyDescent="0.25">
      <c r="H50" s="41"/>
      <c r="I50" s="6"/>
      <c r="J50" s="40"/>
      <c r="K50" s="7">
        <v>270</v>
      </c>
      <c r="L50" s="14">
        <v>0.15666976975350927</v>
      </c>
      <c r="M50" s="14">
        <v>0.18842715868111543</v>
      </c>
      <c r="N50" s="14">
        <v>0.21985664033529057</v>
      </c>
      <c r="O50" s="14">
        <v>0.25076352889629167</v>
      </c>
      <c r="P50" s="14">
        <v>0.28096297592957081</v>
      </c>
      <c r="Q50" s="14">
        <v>0.31028327072013911</v>
      </c>
    </row>
    <row r="51" spans="1:17" x14ac:dyDescent="0.25">
      <c r="H51" s="41"/>
      <c r="I51" s="6"/>
      <c r="J51" s="40"/>
      <c r="K51" s="7">
        <v>280</v>
      </c>
      <c r="L51" s="14">
        <v>0.12627721633641087</v>
      </c>
      <c r="M51" s="14">
        <v>0.15803460526401703</v>
      </c>
      <c r="N51" s="14">
        <v>0.18946408691819216</v>
      </c>
      <c r="O51" s="14">
        <v>0.22037097547919327</v>
      </c>
      <c r="P51" s="14">
        <v>0.25057042251247241</v>
      </c>
      <c r="Q51" s="14">
        <v>0.27989071730304071</v>
      </c>
    </row>
    <row r="52" spans="1:17" x14ac:dyDescent="0.25">
      <c r="H52" s="41"/>
      <c r="I52" s="41"/>
      <c r="J52" s="40"/>
      <c r="K52" s="7">
        <v>290</v>
      </c>
      <c r="L52" s="14">
        <v>9.5222223415864393E-2</v>
      </c>
      <c r="M52" s="14">
        <v>0.12697961234347055</v>
      </c>
      <c r="N52" s="14">
        <v>0.15840909399764569</v>
      </c>
      <c r="O52" s="14">
        <v>0.18931598255864679</v>
      </c>
      <c r="P52" s="14">
        <v>0.21951542959192594</v>
      </c>
      <c r="Q52" s="14">
        <v>0.24883572438249424</v>
      </c>
    </row>
    <row r="53" spans="1:17" x14ac:dyDescent="0.25">
      <c r="H53" s="41"/>
      <c r="I53" s="41"/>
    </row>
    <row r="54" spans="1:17" x14ac:dyDescent="0.25">
      <c r="H54" s="41"/>
      <c r="I54" s="41"/>
    </row>
    <row r="57" spans="1:17" x14ac:dyDescent="0.25">
      <c r="F57" t="s">
        <v>50</v>
      </c>
    </row>
    <row r="60" spans="1:17" x14ac:dyDescent="0.25">
      <c r="A60" s="41"/>
      <c r="B60" s="41"/>
    </row>
    <row r="61" spans="1:17" x14ac:dyDescent="0.25">
      <c r="A61" s="41" t="s">
        <v>51</v>
      </c>
      <c r="B61" t="s">
        <v>34</v>
      </c>
    </row>
    <row r="62" spans="1:17" x14ac:dyDescent="0.25">
      <c r="A62" s="41"/>
      <c r="B62" t="s">
        <v>40</v>
      </c>
    </row>
    <row r="63" spans="1:17" x14ac:dyDescent="0.25">
      <c r="A63" s="41"/>
      <c r="B63" s="41"/>
      <c r="C63" s="41"/>
      <c r="D63" s="47"/>
      <c r="E63" s="47"/>
      <c r="F63" s="42"/>
      <c r="G63" s="41"/>
    </row>
    <row r="64" spans="1:17" x14ac:dyDescent="0.25">
      <c r="A64" s="41"/>
      <c r="B64" s="41"/>
      <c r="C64" s="41"/>
    </row>
    <row r="65" spans="1:7" x14ac:dyDescent="0.25">
      <c r="A65" s="41"/>
      <c r="B65" s="41"/>
      <c r="C65" s="41"/>
      <c r="E65" s="35" t="s">
        <v>26</v>
      </c>
      <c r="F65" s="35"/>
      <c r="G65" s="35"/>
    </row>
    <row r="66" spans="1:7" x14ac:dyDescent="0.25">
      <c r="A66" s="41"/>
      <c r="B66" s="41"/>
      <c r="C66" s="41"/>
      <c r="E66" s="35" t="s">
        <v>27</v>
      </c>
      <c r="F66" s="35"/>
      <c r="G66" s="7">
        <v>320</v>
      </c>
    </row>
    <row r="67" spans="1:7" x14ac:dyDescent="0.25">
      <c r="A67" s="41"/>
      <c r="B67" s="41"/>
      <c r="C67" s="41"/>
      <c r="E67" s="35" t="s">
        <v>0</v>
      </c>
      <c r="F67" s="35"/>
      <c r="G67" s="33">
        <v>313.8</v>
      </c>
    </row>
    <row r="68" spans="1:7" x14ac:dyDescent="0.25">
      <c r="A68" s="41"/>
      <c r="B68" s="41"/>
      <c r="C68" s="41"/>
      <c r="E68" s="35" t="s">
        <v>28</v>
      </c>
      <c r="F68" s="35"/>
      <c r="G68" s="33">
        <v>125.1</v>
      </c>
    </row>
    <row r="69" spans="1:7" x14ac:dyDescent="0.25">
      <c r="A69" s="41"/>
      <c r="B69" s="41"/>
      <c r="C69" s="41"/>
      <c r="E69" s="35" t="s">
        <v>17</v>
      </c>
      <c r="F69" s="35"/>
      <c r="G69" s="34">
        <f>(G66-G67)/G68</f>
        <v>4.9560351718625009E-2</v>
      </c>
    </row>
    <row r="70" spans="1:7" x14ac:dyDescent="0.25">
      <c r="A70" s="41"/>
      <c r="B70" s="41"/>
      <c r="C70" s="41"/>
      <c r="E70" s="35" t="s">
        <v>18</v>
      </c>
      <c r="F70" s="35"/>
      <c r="G70" s="14">
        <v>0.48</v>
      </c>
    </row>
    <row r="71" spans="1:7" x14ac:dyDescent="0.25">
      <c r="A71" s="41"/>
      <c r="B71" s="41"/>
      <c r="C71" s="41"/>
    </row>
    <row r="72" spans="1:7" x14ac:dyDescent="0.25">
      <c r="A72" s="41"/>
      <c r="B72" s="41"/>
      <c r="C72" s="41"/>
      <c r="E72" s="35" t="s">
        <v>29</v>
      </c>
      <c r="F72" s="35"/>
      <c r="G72" s="35"/>
    </row>
    <row r="73" spans="1:7" x14ac:dyDescent="0.25">
      <c r="A73" s="41"/>
      <c r="B73" s="41"/>
      <c r="C73" s="41"/>
      <c r="E73" s="35" t="s">
        <v>27</v>
      </c>
      <c r="F73" s="35"/>
      <c r="G73" s="7">
        <v>320</v>
      </c>
    </row>
    <row r="74" spans="1:7" x14ac:dyDescent="0.25">
      <c r="A74" s="41"/>
      <c r="B74" s="41"/>
      <c r="E74" s="35" t="s">
        <v>30</v>
      </c>
      <c r="F74" s="35"/>
      <c r="G74" s="7">
        <v>18</v>
      </c>
    </row>
    <row r="75" spans="1:7" x14ac:dyDescent="0.25">
      <c r="A75" s="41"/>
      <c r="B75" s="41"/>
      <c r="E75" s="35" t="s">
        <v>33</v>
      </c>
      <c r="F75" s="35"/>
      <c r="G75" s="7">
        <v>12</v>
      </c>
    </row>
    <row r="76" spans="1:7" x14ac:dyDescent="0.25">
      <c r="A76" s="41"/>
      <c r="B76" s="41"/>
      <c r="E76" s="35" t="s">
        <v>32</v>
      </c>
      <c r="F76" s="35"/>
      <c r="G76" s="14">
        <f>G75/G74</f>
        <v>0.66666666666666663</v>
      </c>
    </row>
    <row r="77" spans="1:7" x14ac:dyDescent="0.25">
      <c r="A77" s="41"/>
      <c r="B77" s="41"/>
    </row>
    <row r="79" spans="1:7" x14ac:dyDescent="0.25">
      <c r="A79" t="s">
        <v>52</v>
      </c>
      <c r="C79" t="s">
        <v>41</v>
      </c>
    </row>
    <row r="80" spans="1:7" x14ac:dyDescent="0.25">
      <c r="C80" t="s">
        <v>31</v>
      </c>
    </row>
    <row r="82" spans="1:17" x14ac:dyDescent="0.25">
      <c r="C82" t="s">
        <v>42</v>
      </c>
    </row>
    <row r="83" spans="1:17" x14ac:dyDescent="0.25">
      <c r="C83" t="s">
        <v>43</v>
      </c>
    </row>
    <row r="84" spans="1:17" x14ac:dyDescent="0.25">
      <c r="C84" s="41"/>
      <c r="D84" s="41"/>
      <c r="E84" s="41"/>
      <c r="F84" s="41"/>
      <c r="G84" s="41"/>
      <c r="H84" s="41"/>
      <c r="I84" s="41"/>
      <c r="J84" s="41"/>
      <c r="K84" s="41"/>
      <c r="L84" s="41"/>
      <c r="M84" s="41"/>
      <c r="N84" s="41"/>
      <c r="O84" s="41"/>
      <c r="P84" s="41"/>
      <c r="Q84" s="41"/>
    </row>
    <row r="85" spans="1:17" x14ac:dyDescent="0.25">
      <c r="C85" s="41"/>
      <c r="D85" s="41"/>
      <c r="E85" s="41"/>
      <c r="F85" s="41"/>
      <c r="G85" s="41"/>
      <c r="H85" s="41"/>
      <c r="I85" s="41"/>
      <c r="J85" s="41"/>
      <c r="K85" s="41"/>
      <c r="L85" s="41"/>
      <c r="M85" s="41"/>
      <c r="N85" s="41"/>
      <c r="O85" s="41"/>
      <c r="P85" s="41"/>
      <c r="Q85" s="41"/>
    </row>
    <row r="86" spans="1:17" x14ac:dyDescent="0.25">
      <c r="A86" t="s">
        <v>53</v>
      </c>
      <c r="F86" s="8" t="s">
        <v>35</v>
      </c>
      <c r="H86" s="5"/>
      <c r="I86" s="5"/>
      <c r="J86" s="6"/>
      <c r="K86" s="41"/>
    </row>
    <row r="87" spans="1:17" x14ac:dyDescent="0.25">
      <c r="H87" s="5"/>
      <c r="I87" s="5"/>
      <c r="J87" s="6"/>
      <c r="K87" s="41"/>
    </row>
    <row r="88" spans="1:17" x14ac:dyDescent="0.25">
      <c r="H88" s="5"/>
      <c r="I88" s="5"/>
      <c r="J88" s="6"/>
      <c r="K88" s="41"/>
    </row>
    <row r="89" spans="1:17" x14ac:dyDescent="0.25">
      <c r="J89" s="41"/>
      <c r="K89" s="41"/>
    </row>
    <row r="90" spans="1:17" x14ac:dyDescent="0.25">
      <c r="E90" s="5" t="s">
        <v>0</v>
      </c>
      <c r="F90" s="5">
        <v>313.75</v>
      </c>
      <c r="J90" s="41"/>
      <c r="K90" s="41"/>
    </row>
    <row r="91" spans="1:17" x14ac:dyDescent="0.25">
      <c r="E91" s="5" t="s">
        <v>1</v>
      </c>
      <c r="F91" s="9">
        <v>125.08</v>
      </c>
      <c r="J91" s="41"/>
      <c r="K91" s="41"/>
    </row>
    <row r="92" spans="1:17" x14ac:dyDescent="0.25">
      <c r="E92" s="5" t="s">
        <v>21</v>
      </c>
      <c r="F92" s="9">
        <v>18</v>
      </c>
      <c r="J92" s="41"/>
      <c r="K92" s="41"/>
    </row>
    <row r="93" spans="1:17" x14ac:dyDescent="0.25">
      <c r="E93" s="5" t="s">
        <v>22</v>
      </c>
      <c r="F93" s="9">
        <f>F92-1</f>
        <v>17</v>
      </c>
      <c r="J93" s="41"/>
      <c r="K93" s="41"/>
    </row>
    <row r="94" spans="1:17" ht="15.75" thickBot="1" x14ac:dyDescent="0.3">
      <c r="J94" s="41"/>
      <c r="K94" s="41"/>
    </row>
    <row r="95" spans="1:17" x14ac:dyDescent="0.25">
      <c r="C95" s="36" t="s">
        <v>7</v>
      </c>
      <c r="D95" s="37"/>
      <c r="G95" s="38" t="s">
        <v>8</v>
      </c>
      <c r="H95" s="39"/>
      <c r="J95" s="41"/>
      <c r="K95" s="41"/>
    </row>
    <row r="96" spans="1:17" x14ac:dyDescent="0.25">
      <c r="C96" s="15" t="s">
        <v>9</v>
      </c>
      <c r="D96" s="16">
        <v>0.9</v>
      </c>
      <c r="G96" s="15" t="s">
        <v>9</v>
      </c>
      <c r="H96" s="16">
        <v>0.95</v>
      </c>
      <c r="J96" s="41"/>
      <c r="K96" s="41"/>
    </row>
    <row r="97" spans="1:11" x14ac:dyDescent="0.25">
      <c r="C97" s="15" t="s">
        <v>10</v>
      </c>
      <c r="D97" s="16">
        <f>1-D96</f>
        <v>9.9999999999999978E-2</v>
      </c>
      <c r="G97" s="15" t="s">
        <v>10</v>
      </c>
      <c r="H97" s="16">
        <f>1-H96</f>
        <v>5.0000000000000044E-2</v>
      </c>
      <c r="J97" s="41"/>
      <c r="K97" s="41"/>
    </row>
    <row r="98" spans="1:11" x14ac:dyDescent="0.25">
      <c r="C98" s="15" t="s">
        <v>11</v>
      </c>
      <c r="D98" s="17">
        <f>D97/2</f>
        <v>4.9999999999999989E-2</v>
      </c>
      <c r="G98" s="15" t="s">
        <v>11</v>
      </c>
      <c r="H98" s="22">
        <f>H97/2</f>
        <v>2.5000000000000022E-2</v>
      </c>
      <c r="J98" s="41"/>
      <c r="K98" s="41"/>
    </row>
    <row r="99" spans="1:11" x14ac:dyDescent="0.25">
      <c r="C99" s="15" t="s">
        <v>12</v>
      </c>
      <c r="D99" s="17">
        <f>1-D98</f>
        <v>0.95</v>
      </c>
      <c r="G99" s="15" t="s">
        <v>12</v>
      </c>
      <c r="H99" s="22">
        <f>1-H98</f>
        <v>0.97499999999999998</v>
      </c>
      <c r="J99" s="41"/>
      <c r="K99" s="41"/>
    </row>
    <row r="100" spans="1:11" ht="18" x14ac:dyDescent="0.35">
      <c r="C100" s="15" t="s">
        <v>13</v>
      </c>
      <c r="D100" s="18">
        <v>-1.74</v>
      </c>
      <c r="G100" s="15" t="s">
        <v>13</v>
      </c>
      <c r="H100" s="23">
        <v>-2.11</v>
      </c>
      <c r="J100" s="41"/>
      <c r="K100" s="41"/>
    </row>
    <row r="101" spans="1:11" ht="18" x14ac:dyDescent="0.35">
      <c r="C101" s="15" t="s">
        <v>14</v>
      </c>
      <c r="D101" s="18">
        <v>1.74</v>
      </c>
      <c r="G101" s="15" t="s">
        <v>14</v>
      </c>
      <c r="H101" s="23">
        <v>2.11</v>
      </c>
      <c r="J101" s="41"/>
      <c r="K101" s="41"/>
    </row>
    <row r="102" spans="1:11" x14ac:dyDescent="0.25">
      <c r="C102" s="15" t="s">
        <v>15</v>
      </c>
      <c r="D102" s="19">
        <v>36.159999999999997</v>
      </c>
      <c r="G102" s="15" t="s">
        <v>15</v>
      </c>
      <c r="H102" s="19">
        <v>49.85</v>
      </c>
      <c r="J102" s="41"/>
      <c r="K102" s="41"/>
    </row>
    <row r="103" spans="1:11" ht="15.75" thickBot="1" x14ac:dyDescent="0.3">
      <c r="C103" s="20" t="s">
        <v>16</v>
      </c>
      <c r="D103" s="21">
        <v>531.35</v>
      </c>
      <c r="G103" s="20" t="s">
        <v>16</v>
      </c>
      <c r="H103" s="21">
        <v>577.65</v>
      </c>
      <c r="J103" s="41"/>
      <c r="K103" s="41"/>
    </row>
    <row r="104" spans="1:11" x14ac:dyDescent="0.25">
      <c r="J104" s="41"/>
      <c r="K104" s="41"/>
    </row>
    <row r="105" spans="1:11" x14ac:dyDescent="0.25">
      <c r="C105" t="s">
        <v>44</v>
      </c>
      <c r="G105" t="s">
        <v>45</v>
      </c>
      <c r="J105" s="41"/>
      <c r="K105" s="41"/>
    </row>
    <row r="106" spans="1:11" x14ac:dyDescent="0.25">
      <c r="C106" s="12"/>
      <c r="J106" s="41"/>
      <c r="K106" s="41"/>
    </row>
    <row r="107" spans="1:11" x14ac:dyDescent="0.25">
      <c r="C107" t="s">
        <v>54</v>
      </c>
      <c r="J107" s="41"/>
      <c r="K107" s="41"/>
    </row>
    <row r="108" spans="1:11" x14ac:dyDescent="0.25">
      <c r="J108" s="41"/>
      <c r="K108" s="41"/>
    </row>
    <row r="110" spans="1:11" x14ac:dyDescent="0.25">
      <c r="A110" t="s">
        <v>55</v>
      </c>
      <c r="B110" s="28" t="s">
        <v>19</v>
      </c>
      <c r="C110" s="28"/>
      <c r="D110" s="28"/>
      <c r="E110" s="28"/>
      <c r="F110" s="28"/>
    </row>
    <row r="111" spans="1:11" ht="15.75" thickBot="1" x14ac:dyDescent="0.3">
      <c r="B111" s="30" t="s">
        <v>20</v>
      </c>
      <c r="C111" s="30"/>
      <c r="D111" s="30"/>
      <c r="E111" s="30"/>
      <c r="F111" s="30"/>
    </row>
    <row r="112" spans="1:11" x14ac:dyDescent="0.25">
      <c r="B112" s="43"/>
      <c r="C112" s="43"/>
      <c r="D112" s="43"/>
      <c r="E112" s="43"/>
      <c r="F112" s="43"/>
    </row>
    <row r="113" spans="1:3" x14ac:dyDescent="0.25">
      <c r="A113" t="s">
        <v>56</v>
      </c>
      <c r="B113" s="31" t="s">
        <v>58</v>
      </c>
    </row>
    <row r="114" spans="1:3" x14ac:dyDescent="0.25">
      <c r="B114" t="s">
        <v>57</v>
      </c>
    </row>
    <row r="115" spans="1:3" x14ac:dyDescent="0.25">
      <c r="B115" t="s">
        <v>36</v>
      </c>
    </row>
    <row r="118" spans="1:3" x14ac:dyDescent="0.25">
      <c r="A118" t="s">
        <v>59</v>
      </c>
      <c r="B118" t="s">
        <v>60</v>
      </c>
    </row>
    <row r="120" spans="1:3" x14ac:dyDescent="0.25">
      <c r="B120" t="s">
        <v>34</v>
      </c>
    </row>
    <row r="121" spans="1:3" x14ac:dyDescent="0.25">
      <c r="B121" t="s">
        <v>40</v>
      </c>
    </row>
    <row r="124" spans="1:3" x14ac:dyDescent="0.25">
      <c r="A124" t="s">
        <v>61</v>
      </c>
      <c r="B124" t="s">
        <v>62</v>
      </c>
    </row>
    <row r="126" spans="1:3" x14ac:dyDescent="0.25">
      <c r="C126" t="s">
        <v>63</v>
      </c>
    </row>
    <row r="151" spans="1:5" x14ac:dyDescent="0.25">
      <c r="A151" t="s">
        <v>61</v>
      </c>
      <c r="B151" t="s">
        <v>64</v>
      </c>
    </row>
    <row r="153" spans="1:5" x14ac:dyDescent="0.25">
      <c r="C153" t="s">
        <v>23</v>
      </c>
    </row>
    <row r="155" spans="1:5" x14ac:dyDescent="0.25">
      <c r="C155" s="11" t="s">
        <v>37</v>
      </c>
    </row>
    <row r="156" spans="1:5" x14ac:dyDescent="0.25">
      <c r="C156" s="10"/>
    </row>
    <row r="157" spans="1:5" x14ac:dyDescent="0.25">
      <c r="C157" s="5" t="s">
        <v>24</v>
      </c>
      <c r="D157" s="12">
        <v>150000</v>
      </c>
      <c r="E157" t="s">
        <v>65</v>
      </c>
    </row>
    <row r="158" spans="1:5" x14ac:dyDescent="0.25">
      <c r="C158" s="29" t="s">
        <v>25</v>
      </c>
      <c r="D158" s="13">
        <v>344</v>
      </c>
      <c r="E158" t="s">
        <v>39</v>
      </c>
    </row>
    <row r="160" spans="1:5" x14ac:dyDescent="0.25">
      <c r="C160" t="s">
        <v>38</v>
      </c>
    </row>
  </sheetData>
  <mergeCells count="14">
    <mergeCell ref="G95:H95"/>
    <mergeCell ref="E65:G65"/>
    <mergeCell ref="E66:F66"/>
    <mergeCell ref="E67:F67"/>
    <mergeCell ref="E68:F68"/>
    <mergeCell ref="E69:F69"/>
    <mergeCell ref="E70:F70"/>
    <mergeCell ref="E72:G72"/>
    <mergeCell ref="E73:F73"/>
    <mergeCell ref="E74:F74"/>
    <mergeCell ref="C95:D95"/>
    <mergeCell ref="E75:F75"/>
    <mergeCell ref="E76:F76"/>
    <mergeCell ref="D63:E63"/>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Bluffton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 Darryl</dc:creator>
  <cp:lastModifiedBy>DELL</cp:lastModifiedBy>
  <dcterms:created xsi:type="dcterms:W3CDTF">2009-12-09T18:32:46Z</dcterms:created>
  <dcterms:modified xsi:type="dcterms:W3CDTF">2022-12-06T17:52:32Z</dcterms:modified>
</cp:coreProperties>
</file>